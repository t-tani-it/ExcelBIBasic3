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d0f63e9af4285" /></Relationships>
</file>

<file path=xl/workbook.xml><?xml version="1.0" encoding="utf-8"?>
<workbook xmlns="http://schemas.openxmlformats.org/spreadsheetml/2006/main" xmlns:r="http://schemas.openxmlformats.org/officeDocument/2006/relationships">
  <sheets>
    <sheet name="採算シミュレーション" sheetId="1" r:id="R8f57ce5fccb241be"/>
    <sheet name="見積書" sheetId="2" r:id="Re9a8ac2fad5b4639"/>
    <sheet name="見積入力" sheetId="3" r:id="R867db3e063774bbb"/>
    <sheet name="原価(木工所)" sheetId="4" r:id="R4f9b7a7239d9425d"/>
    <sheet name="原価(農家)" sheetId="5" r:id="R3175dddf85eb404d"/>
    <sheet name="設定" sheetId="6" r:id="Rdd4da4f0391a42b0"/>
    <sheet name="サンプル・入力例" sheetId="7" r:id="Ra47f2bd6f4234dd8"/>
    <sheet name="計算" sheetId="8" r:id="R63740e8e449646a6"/>
    <sheet name="使い方・検証" sheetId="9" r:id="Rba33af1e3ff84615"/>
    <sheet name="売上分析" sheetId="10" r:id="R940217df1d544daf"/>
    <sheet name="売上データ" sheetId="11" r:id="R49ddb11995794b09"/>
  </sheets>
  <definedNames>
    <definedName name="IndustryList">'設定'!$A$6:$A$7</definedName>
    <definedName name="_xlnm.Print_Area" localSheetId="1">'見積書'!$A$1:$J$34</definedName>
  </definedNames>
  <calcPr calcMode="auto" fullCalcOnLoad="1" forceFullCalc="1"/>
</workbook>
</file>

<file path=xl/comments1.xml><?xml version="1.0" encoding="utf-8"?>
<x:comments xmlns:x="http://schemas.openxmlformats.org/spreadsheetml/2006/main">
  <x:authors>
    <x:author/>
  </x:authors>
  <x:commentList>
    <x:comment ref="A7" authorId="0">
      <x:text>
        <x:r>
          <x:t>【意味】売上を分母にした目標の予定案件利益率。0%以上100%未満。
【例】原価88,000円、目標30%なら必要売価は125,715円。
【実務】最低受注価格の検討に使います。原価への上乗せ率とは異なります。</x:t>
        </x:r>
      </x:text>
    </x:comment>
    <x:comment ref="A9" authorId="0">
      <x:text>
        <x:r>
          <x:t>【意味】基準売上に対する仮の値引率。整数0〜100を入力。
【例】10なら10%引き。160,000円→144,000円。
【実務】利益への影響を比較。見積書へは別途「確定値引率」に反映します。</x:t>
        </x:r>
      </x:text>
    </x:comment>
    <x:comment ref="A11" authorId="0">
      <x:text>
        <x:r>
          <x:t>【意味】商品原価と案件共通費全体への一律増減割合。
【例】10%で88,000円→96,800円。
【実務】仕入価格上昇への耐性を見る概算。個別変更は原価明細で行います。</x:t>
        </x:r>
      </x:text>
    </x:comment>
    <x:comment ref="D5" authorId="0">
      <x:text>
        <x:r>
          <x:t>【意味】各明細の基準売上に試算値引率を適用した税抜合計。
【例】160,000円から10%引き＝144,000円。
【実務】値引き交渉後に残る売上を比較します。消費税は含みません。</x:t>
        </x:r>
      </x:text>
    </x:comment>
    <x:comment ref="G5" authorId="0">
      <x:text>
        <x:r>
          <x:t>【意味】選択業種の原価と案件共通費に原価増減率を適用した合計。
【例】原価88,000円から10%増＝96,800円。
【実務】未算入の間接費がないか確認。木工と農業の原価は合算しません。</x:t>
        </x:r>
      </x:text>
    </x:comment>
    <x:comment ref="D9" authorId="0">
      <x:text>
        <x:r>
          <x:t>【意味】試算売上−試算原価。入力済みの費用に基づく管理用利益。
【例】160,000−88,000＝72,000円。
【実務】受注判断に使います。未計上費用があると実利益を過大評価します。会計上の営業利益とは限りません。</x:t>
        </x:r>
      </x:text>
    </x:comment>
    <x:comment ref="G9" authorId="0">
      <x:text>
        <x:r>
          <x:t>【意味】予定案件利益÷試算売上。売上0円なら算出不可。
【例】72,000÷160,000＝45%。
【実務】案件を比較し目標と照合します。商品別差額率とは共通費の範囲が異なります。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5" authorId="0">
      <x:text>
        <x:r>
          <x:t>【意味】販売明細を識別する固定ID。原価の対象明細IDと一致させます。
【例】M001をテーブルに設定。
【実務】行番号ではなくIDで原価を結び付けます。重複・案件共通・*?~は使用不可。</x:t>
        </x:r>
      </x:text>
    </x:comment>
    <x:comment ref="B15" authorId="0">
      <x:text>
        <x:r>
          <x:t>【意味】顧客へ販売する商品・役務の名称。
【例】テーブル、野菜5kg箱。
【実務】見積書に表示されるため顧客が理解できる名称にします。</x:t>
        </x:r>
      </x:text>
    </x:comment>
    <x:comment ref="C15" authorId="0">
      <x:text>
        <x:r>
          <x:t>【意味】サイズ・材質・品質等の見積条件。
【例】幅120cm・無垢材、野菜5kg。
【実務】価格の前提を明記し、仕様変更時の追加費用判断に使います。</x:t>
        </x:r>
      </x:text>
    </x:comment>
    <x:comment ref="D15" authorId="0">
      <x:text>
        <x:r>
          <x:t>【意味】今回販売する数量。0より大きい値。
【例】テーブル2台、野菜100箱。
【実務】数量連動の原価も変わります。一式原価は変わりません。</x:t>
        </x:r>
      </x:text>
    </x:comment>
    <x:comment ref="E15" authorId="0">
      <x:text>
        <x:r>
          <x:t>【意味】販売数量の単位。
【例】台、脚、箱、kg、式。
【実務】原価の使用量と単位が一致しているか確認します。</x:t>
        </x:r>
      </x:text>
    </x:comment>
    <x:comment ref="F15" authorId="0">
      <x:text>
        <x:r>
          <x:t>【意味】確定値引き前の税抜販売単価。
【例】50,000円×2台＝100,000円。
【実務】交渉前の提示価格を入力します。原価単価と混同しません。</x:t>
        </x:r>
      </x:text>
    </x:comment>
    <x:comment ref="G15" authorId="0">
      <x:text>
        <x:r>
          <x:t>【意味】当該取引に適用する消費税率。
【例】0.1は10%、0.08は8%。
【実務】適用区分を確認して選択。税額は値引き後の税率別合計から計算します。</x:t>
        </x:r>
      </x:text>
    </x:comment>
    <x:comment ref="H15" authorId="0">
      <x:text>
        <x:r>
          <x:t>【意味】数量×税抜単価を円単位四捨五入した値引き前金額。
【例】2×50,000＝100,000円。
【実務】明細の計算確認に使います。確定値引き後金額は見積書を確認します。</x:t>
        </x:r>
      </x:text>
    </x:comment>
    <x:comment ref="I15" authorId="0">
      <x:text>
        <x:r>
          <x:t>【意味】必須項目・ID重複・数量・単価・税率の検査結果。
【例】ID重複、数値を入力、OK。
【実務】要確認行を修正してから見積を発行します。OKは採算の良さを意味しません。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5" authorId="0">
      <x:text>
        <x:r>
          <x:t>【意味】原価を結び付ける販売明細ID。共通費は案件共通。
【例】M001はテーブル用、一括配送は案件共通。
【実務】共通費は案件利益で一度だけ控除し商品へ自動配賦しません。</x:t>
        </x:r>
      </x:text>
    </x:comment>
    <x:comment ref="B15" authorId="0">
      <x:text>
        <x:r>
          <x:t>【意味】原価の種類。
【例】材料、作業、外注、配送、生産原価。
【実務】費用の漏れ・重複を確認。農家の生産原価は上部の計算単価を使います。</x:t>
        </x:r>
      </x:text>
    </x:comment>
    <x:comment ref="C15" authorId="0">
      <x:text>
        <x:r>
          <x:t>【意味】費用の具体的な内容。
【例】テーブル材料、選別・梱包。
【実務】見積根拠を後から説明できる名称を残します。</x:t>
        </x:r>
      </x:text>
    </x:comment>
    <x:comment ref="D15" authorId="0">
      <x:text>
        <x:r>
          <x:t>【意味】数量連動は販売1単位あたり、一式は案件合計の使用量・時間。
【例】1台10時間、1箱5kg、一括配送1回。
【実務】単位を根拠欄に書き、販売数量を二重に掛けないようにします。</x:t>
        </x:r>
      </x:text>
    </x:comment>
    <x:comment ref="E15" authorId="0">
      <x:text>
        <x:r>
          <x:t>【意味】材料1単位・作業1時間等あたりの税抜費用。
【例】時給換算1,000円。農家の生産原価行は空欄で自動単価を利用。
【実務】仕入単価や負担作業費を入力。税込売価と比較しません。</x:t>
        </x:r>
      </x:text>
    </x:comment>
    <x:comment ref="F15" authorId="0">
      <x:text>
        <x:r>
          <x:t>【意味】使用量×適用単価×見積数量。一式は数量1。円単位四捨五入。
【例】10時間×1,000円×2台＝20,000円。
【実務】商品別原価と案件共通費の積上げを確認します。</x:t>
        </x:r>
      </x:text>
    </x:comment>
    <x:comment ref="G15" authorId="0">
      <x:text>
        <x:r>
          <x:t>【意味】使用量・原価単価の単位や見積根拠。
【例】時間/台、kg/箱、仕入先見積。
【実務】将来の単価改定や担当者変更時に再現できるよう記録します。</x:t>
        </x:r>
      </x:text>
    </x:comment>
    <x:comment ref="H15" authorId="0">
      <x:text>
        <x:r>
          <x:t>【意味】ID・必須欄・数値・数量の扱いの入力検査結果。
【例】ID未登録・重複、OK。
【実務】OK以外の行を修正。未入力を原価0円として扱わない設計です。</x:t>
        </x:r>
      </x:text>
    </x:comment>
    <x:comment ref="I15" authorId="0">
      <x:text>
        <x:r>
          <x:t>【意味】数量連動は販売数量に比例。一式は案件全体で固定。
【例】加工は数量連動、一括配送は一式。
【実務】数量変更の試算時に固定費用が誤って増えないよう選択します。</x:t>
        </x:r>
      </x:text>
    </x:comment>
    <x:comment ref="J15" authorId="0">
      <x:text>
        <x:r>
          <x:t>【意味】数量連動なら対象販売明細から取得、一式なら1。
【例】M001の販売数量2、一式配送は1。
【実務】参照結果の確認用。変更は見積入力側で行います。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A15" authorId="0">
      <x:text>
        <x:r>
          <x:t>【意味】原価を結び付ける販売明細ID。共通費は案件共通。
【例】M001はテーブル用、一括配送は案件共通。
【実務】共通費は案件利益で一度だけ控除し商品へ自動配賦しません。</x:t>
        </x:r>
      </x:text>
    </x:comment>
    <x:comment ref="B15" authorId="0">
      <x:text>
        <x:r>
          <x:t>【意味】原価の種類。
【例】材料、作業、外注、配送、生産原価。
【実務】費用の漏れ・重複を確認。農家の生産原価は上部の計算単価を使います。</x:t>
        </x:r>
      </x:text>
    </x:comment>
    <x:comment ref="C15" authorId="0">
      <x:text>
        <x:r>
          <x:t>【意味】費用の具体的な内容。
【例】テーブル材料、選別・梱包。
【実務】見積根拠を後から説明できる名称を残します。</x:t>
        </x:r>
      </x:text>
    </x:comment>
    <x:comment ref="D15" authorId="0">
      <x:text>
        <x:r>
          <x:t>【意味】数量連動は販売1単位あたり、一式は案件合計の使用量・時間。
【例】1台10時間、1箱5kg、一括配送1回。
【実務】単位を根拠欄に書き、販売数量を二重に掛けないようにします。</x:t>
        </x:r>
      </x:text>
    </x:comment>
    <x:comment ref="E15" authorId="0">
      <x:text>
        <x:r>
          <x:t>【意味】材料1単位・作業1時間等あたりの税抜費用。
【例】時給換算1,000円。農家の生産原価行は空欄で自動単価を利用。
【実務】仕入単価や負担作業費を入力。税込売価と比較しません。</x:t>
        </x:r>
      </x:text>
    </x:comment>
    <x:comment ref="F15" authorId="0">
      <x:text>
        <x:r>
          <x:t>【意味】使用量×適用単価×見積数量。一式は数量1。円単位四捨五入。
【例】10時間×1,000円×2台＝20,000円。
【実務】商品別原価と案件共通費の積上げを確認します。</x:t>
        </x:r>
      </x:text>
    </x:comment>
    <x:comment ref="G15" authorId="0">
      <x:text>
        <x:r>
          <x:t>【意味】使用量・原価単価の単位や見積根拠。
【例】時間/台、kg/箱、仕入先見積。
【実務】将来の単価改定や担当者変更時に再現できるよう記録します。</x:t>
        </x:r>
      </x:text>
    </x:comment>
    <x:comment ref="H15" authorId="0">
      <x:text>
        <x:r>
          <x:t>【意味】ID・必須欄・数値・数量の扱いの入力検査結果。
【例】ID未登録・重複、OK。
【実務】OK以外の行を修正。未入力を原価0円として扱わない設計です。</x:t>
        </x:r>
      </x:text>
    </x:comment>
    <x:comment ref="I15" authorId="0">
      <x:text>
        <x:r>
          <x:t>【意味】数量連動は販売数量に比例。一式は案件全体で固定。
【例】加工は数量連動、一括配送は一式。
【実務】数量変更の試算時に固定費用が誤って増えないよう選択します。</x:t>
        </x:r>
      </x:text>
    </x:comment>
    <x:comment ref="J15" authorId="0">
      <x:text>
        <x:r>
          <x:t>【意味】数量連動なら対象販売明細から取得、一式なら1。
【例】M001の販売数量2、一式配送は1。
【実務】参照結果の確認用。変更は見積入力側で行います。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A6" authorId="0">
      <x:text>
        <x:r>
          <x:t>【意味】販売明細を識別する固定ID。原価の対象明細IDと一致させます。
【例】M001をテーブルに設定。
【実務】行番号ではなくIDで原価を結び付けます。重複・案件共通・*?~は使用不可。</x:t>
        </x:r>
      </x:text>
    </x:comment>
    <x:comment ref="B6" authorId="0">
      <x:text>
        <x:r>
          <x:t>【意味】顧客へ販売する商品・役務の名称。
【例】テーブル、野菜5kg箱。
【実務】見積書に表示されるため顧客が理解できる名称にします。</x:t>
        </x:r>
      </x:text>
    </x:comment>
    <x:comment ref="C6" authorId="0">
      <x:text>
        <x:r>
          <x:t>【意味】サイズ・材質・品質等の見積条件。
【例】幅120cm・無垢材、野菜5kg。
【実務】価格の前提を明記し、仕様変更時の追加費用判断に使います。</x:t>
        </x:r>
      </x:text>
    </x:comment>
    <x:comment ref="D6" authorId="0">
      <x:text>
        <x:r>
          <x:t>【意味】今回販売する数量。0より大きい値。
【例】テーブル2台、野菜100箱。
【実務】数量連動の原価も変わります。一式原価は変わりません。</x:t>
        </x:r>
      </x:text>
    </x:comment>
    <x:comment ref="E6" authorId="0">
      <x:text>
        <x:r>
          <x:t>【意味】販売数量の単位。
【例】台、脚、箱、kg、式。
【実務】原価の使用量と単位が一致しているか確認します。</x:t>
        </x:r>
      </x:text>
    </x:comment>
    <x:comment ref="F6" authorId="0">
      <x:text>
        <x:r>
          <x:t>【意味】確定値引き前の税抜販売単価。
【例】50,000円×2台＝100,000円。
【実務】交渉前の提示価格を入力します。原価単価と混同しません。</x:t>
        </x:r>
      </x:text>
    </x:comment>
    <x:comment ref="G6" authorId="0">
      <x:text>
        <x:r>
          <x:t>【意味】当該取引に適用する消費税率。
【例】0.1は10%、0.08は8%。
【実務】適用区分を確認して選択。税額は値引き後の税率別合計から計算します。</x:t>
        </x:r>
      </x:text>
    </x:comment>
    <x:comment ref="A21" authorId="0">
      <x:text>
        <x:r>
          <x:t>【意味】販売明細を識別する固定ID。原価の対象明細IDと一致させます。
【例】M001をテーブルに設定。
【実務】行番号ではなくIDで原価を結び付けます。重複・案件共通・*?~は使用不可。</x:t>
        </x:r>
      </x:text>
    </x:comment>
    <x:comment ref="B21" authorId="0">
      <x:text>
        <x:r>
          <x:t>【意味】顧客へ販売する商品・役務の名称。
【例】テーブル、野菜5kg箱。
【実務】見積書に表示されるため顧客が理解できる名称にします。</x:t>
        </x:r>
      </x:text>
    </x:comment>
    <x:comment ref="C21" authorId="0">
      <x:text>
        <x:r>
          <x:t>【意味】サイズ・材質・品質等の見積条件。
【例】幅120cm・無垢材、野菜5kg。
【実務】価格の前提を明記し、仕様変更時の追加費用判断に使います。</x:t>
        </x:r>
      </x:text>
    </x:comment>
    <x:comment ref="D21" authorId="0">
      <x:text>
        <x:r>
          <x:t>【意味】今回販売する数量。0より大きい値。
【例】テーブル2台、野菜100箱。
【実務】数量連動の原価も変わります。一式原価は変わりません。</x:t>
        </x:r>
      </x:text>
    </x:comment>
    <x:comment ref="E21" authorId="0">
      <x:text>
        <x:r>
          <x:t>【意味】販売数量の単位。
【例】台、脚、箱、kg、式。
【実務】原価の使用量と単位が一致しているか確認します。</x:t>
        </x:r>
      </x:text>
    </x:comment>
    <x:comment ref="F21" authorId="0">
      <x:text>
        <x:r>
          <x:t>【意味】確定値引き前の税抜販売単価。
【例】50,000円×2台＝100,000円。
【実務】交渉前の提示価格を入力します。原価単価と混同しません。</x:t>
        </x:r>
      </x:text>
    </x:comment>
    <x:comment ref="G21" authorId="0">
      <x:text>
        <x:r>
          <x:t>【意味】当該取引に適用する消費税率。
【例】0.1は10%、0.08は8%。
【実務】適用区分を確認して選択。税額は値引き後の税率別合計から計算します。</x:t>
        </x:r>
      </x:text>
    </x:comment>
    <x:comment ref="A11" authorId="0">
      <x:text>
        <x:r>
          <x:t>【意味】原価を結び付ける販売明細ID。共通費は案件共通。
【例】M001はテーブル用、一括配送は案件共通。
【実務】共通費は案件利益で一度だけ控除し商品へ自動配賦しません。</x:t>
        </x:r>
      </x:text>
    </x:comment>
    <x:comment ref="B11" authorId="0">
      <x:text>
        <x:r>
          <x:t>【意味】原価の種類。
【例】材料、作業、外注、配送、生産原価。
【実務】費用の漏れ・重複を確認。農家の生産原価は上部の計算単価を使います。</x:t>
        </x:r>
      </x:text>
    </x:comment>
    <x:comment ref="C11" authorId="0">
      <x:text>
        <x:r>
          <x:t>【意味】費用の具体的な内容。
【例】テーブル材料、選別・梱包。
【実務】見積根拠を後から説明できる名称を残します。</x:t>
        </x:r>
      </x:text>
    </x:comment>
    <x:comment ref="D11" authorId="0">
      <x:text>
        <x:r>
          <x:t>【意味】数量連動は販売1単位あたり、一式は案件合計の使用量・時間。
【例】1台10時間、1箱5kg、一括配送1回。
【実務】単位を根拠欄に書き、販売数量を二重に掛けないようにします。</x:t>
        </x:r>
      </x:text>
    </x:comment>
    <x:comment ref="E11" authorId="0">
      <x:text>
        <x:r>
          <x:t>【意味】材料1単位・作業1時間等あたりの税抜費用。
【例】時給換算1,000円。農家の生産原価行は空欄で自動単価を利用。
【実務】仕入単価や負担作業費を入力。税込売価と比較しません。</x:t>
        </x:r>
      </x:text>
    </x:comment>
    <x:comment ref="F11" authorId="0">
      <x:text>
        <x:r>
          <x:t>【意味】使用量・原価単価の単位や見積根拠。
【例】時間/台、kg/箱、仕入先見積。
【実務】将来の単価改定や担当者変更時に再現できるよう記録します。</x:t>
        </x:r>
      </x:text>
    </x:comment>
    <x:comment ref="G11" authorId="0">
      <x:text>
        <x:r>
          <x:t>【意味】数量連動は販売数量に比例。一式は案件全体で固定。
【例】加工は数量連動、一括配送は一式。
【実務】数量変更の試算時に固定費用が誤って増えないよう選択します。</x:t>
        </x:r>
      </x:text>
    </x:comment>
    <x:comment ref="A25" authorId="0">
      <x:text>
        <x:r>
          <x:t>【意味】原価を結び付ける販売明細ID。共通費は案件共通。
【例】M001はテーブル用、一括配送は案件共通。
【実務】共通費は案件利益で一度だけ控除し商品へ自動配賦しません。</x:t>
        </x:r>
      </x:text>
    </x:comment>
    <x:comment ref="B25" authorId="0">
      <x:text>
        <x:r>
          <x:t>【意味】原価の種類。
【例】材料、作業、外注、配送、生産原価。
【実務】費用の漏れ・重複を確認。農家の生産原価は上部の計算単価を使います。</x:t>
        </x:r>
      </x:text>
    </x:comment>
    <x:comment ref="C25" authorId="0">
      <x:text>
        <x:r>
          <x:t>【意味】費用の具体的な内容。
【例】テーブル材料、選別・梱包。
【実務】見積根拠を後から説明できる名称を残します。</x:t>
        </x:r>
      </x:text>
    </x:comment>
    <x:comment ref="D25" authorId="0">
      <x:text>
        <x:r>
          <x:t>【意味】数量連動は販売1単位あたり、一式は案件合計の使用量・時間。
【例】1台10時間、1箱5kg、一括配送1回。
【実務】単位を根拠欄に書き、販売数量を二重に掛けないようにします。</x:t>
        </x:r>
      </x:text>
    </x:comment>
    <x:comment ref="E25" authorId="0">
      <x:text>
        <x:r>
          <x:t>【意味】材料1単位・作業1時間等あたりの税抜費用。
【例】時給換算1,000円。農家の生産原価行は空欄で自動単価を利用。
【実務】仕入単価や負担作業費を入力。税込売価と比較しません。</x:t>
        </x:r>
      </x:text>
    </x:comment>
    <x:comment ref="F25" authorId="0">
      <x:text>
        <x:r>
          <x:t>【意味】使用量・原価単価の単位や見積根拠。
【例】時間/台、kg/箱、仕入先見積。
【実務】将来の単価改定や担当者変更時に再現できるよう記録します。</x:t>
        </x:r>
      </x:text>
    </x:comment>
    <x:comment ref="G25" authorId="0">
      <x:text>
        <x:r>
          <x:t>【意味】数量連動は販売数量に比例。一式は案件全体で固定。
【例】加工は数量連動、一括配送は一式。
【実務】数量変更の試算時に固定費用が誤って増えないよう選択します。</x:t>
        </x:r>
      </x:text>
    </x:comment>
  </x:commentList>
</x:comments>
</file>

<file path=xl/comments6.xml><?xml version="1.0" encoding="utf-8"?>
<x:comments xmlns:x="http://schemas.openxmlformats.org/spreadsheetml/2006/main">
  <x:authors>
    <x:author/>
  </x:authors>
  <x:commentList>
    <x:comment ref="A15" authorId="0">
      <x:text>
        <x:r>
          <x:t>【意味】販売明細を識別する固定ID。原価の対象明細IDと一致させます。
【例】M001をテーブルに設定。
【実務】行番号ではなくIDで原価を結び付けます。重複・案件共通・*?~は使用不可。</x:t>
        </x:r>
      </x:text>
    </x:comment>
    <x:comment ref="B15" authorId="0">
      <x:text>
        <x:r>
          <x:t>【意味】顧客へ販売する商品・役務の名称。
【例】テーブル、野菜5kg箱。
【実務】見積書に表示されるため顧客が理解できる名称にします。</x:t>
        </x:r>
      </x:text>
    </x:comment>
    <x:comment ref="C15" authorId="0">
      <x:text>
        <x:r>
          <x:t>【意味】値引き前の税抜売上。
【例】テーブル2台×50,000円＝100,000円。
【実務】入力側の数量・単価との一致を確認します。</x:t>
        </x:r>
      </x:text>
    </x:comment>
    <x:comment ref="D15" authorId="0">
      <x:text>
        <x:r>
          <x:t>【意味】選択業種で当該IDに紐付く原価。共通費は別集計。
【例】テーブル材料30,000＋作業20,000＝50,000円。
【実務】明細別採算を確認。案件共通費を重ねて入力しません。</x:t>
        </x:r>
      </x:text>
    </x:comment>
    <x:comment ref="E15" authorId="0">
      <x:text>
        <x:r>
          <x:t>【意味】対象IDに紐付いた原価行の件数。
【例】材料と作業の2行なら2。
【実務】0件は原価登録漏れを示します。金額0円と区別します。</x:t>
        </x:r>
      </x:text>
    </x:comment>
    <x:comment ref="F15" authorId="0">
      <x:text>
        <x:r>
          <x:t>【意味】当該明細の基準売上に試算値引率を適用した税抜金額。円単位四捨五入。
【例】テーブル100,000円を10%引きなら90,000円。
【実務】商品単位の値引き後売上を確認し、案件合計はB30で確認します。</x:t>
        </x:r>
      </x:text>
    </x:comment>
    <x:comment ref="G15" authorId="0">
      <x:text>
        <x:r>
          <x:t>【意味】明細原価に原価増減率を適用した金額。
【例】50,000円×1.1＝55,000円。
【実務】案件共通費は別途B41で増減し合計します。</x:t>
        </x:r>
      </x:text>
    </x:comment>
    <x:comment ref="H15" authorId="0">
      <x:text>
        <x:r>
          <x:t>【意味】基準売上に確定値引率を適用した税抜金額。
【例】100,000円を10%引きなら90,000円。
【実務】実際に見積書へ表示する金額。試算値引率とは独立です。</x:t>
        </x:r>
      </x:text>
    </x:comment>
    <x:comment ref="I15" authorId="0">
      <x:text>
        <x:r>
          <x:t>【意味】当該取引に適用する消費税率。
【例】0.1は10%、0.08は8%。
【実務】適用区分を確認して選択。税額は値引き後の税率別合計から計算します。</x:t>
        </x:r>
      </x:text>
    </x:comment>
    <x:comment ref="J15" authorId="0">
      <x:text>
        <x:r>
          <x:t>【意味】原価取得・行数の整合状態。
【例】原価件数が0なら原価の紐付け不足。
【実務】ID一致を確認して見積原価の漏れを防ぎます。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7">
    <numFmt numFmtId="200" formatCode="0.0%"/>
    <numFmt numFmtId="201" formatCode="yyyy/mm/dd"/>
    <numFmt numFmtId="202" formatCode="#,##0"/>
    <numFmt numFmtId="203" formatCode="0%"/>
    <numFmt numFmtId="204" formatCode="#,##0.00"/>
    <numFmt numFmtId="205" formatCode="#,##0&quot; 円&quot;"/>
    <numFmt numFmtId="206" formatCode="#,##0,"/>
  </numFmts>
  <fonts count="15">
    <font>
      <sz val="11"/>
      <name val="Carlito"/>
    </font>
    <font>
      <sz val="11"/>
      <color rgb="FF233E39"/>
      <name val="Yu Gothic"/>
    </font>
    <font>
      <b/>
      <sz val="17"/>
      <color rgb="FF164D45"/>
      <name val="Yu Gothic"/>
    </font>
    <font>
      <b/>
      <sz val="11"/>
      <color rgb="FFFFFFFF"/>
      <name val="Yu Gothic"/>
    </font>
    <font>
      <sz val="11"/>
      <color rgb="FF1354A0"/>
      <name val="Yu Gothic"/>
    </font>
    <font>
      <sz val="10"/>
      <color rgb="FF536477"/>
      <name val="Yu Gothic"/>
    </font>
    <font>
      <b/>
      <sz val="11"/>
      <color rgb="FFFFFFFF"/>
      <name val="Carlito"/>
    </font>
    <font>
      <sz val="10"/>
      <color rgb="FF536477"/>
      <name val="Carlito"/>
    </font>
    <font>
      <b/>
      <sz val="10"/>
      <color rgb="FF536477"/>
      <name val="Carlito"/>
    </font>
    <font>
      <b/>
      <sz val="20"/>
      <color rgb="FF07988A"/>
      <name val="Yu Gothic"/>
    </font>
    <font>
      <b/>
      <sz val="11"/>
      <color rgb="FF07988A"/>
      <name val="Yu Gothic"/>
    </font>
    <font>
      <b/>
      <sz val="17"/>
      <color rgb="FFFFFFFF"/>
      <name val="Yu Gothic"/>
    </font>
    <font>
      <b/>
      <sz val="18"/>
      <color rgb="FFFFFFFF"/>
      <name val="Yu Gothic"/>
    </font>
    <font>
      <sz val="11"/>
      <name val="Yu Gothic"/>
    </font>
    <font>
      <b/>
      <sz val="22"/>
      <color rgb="FF077F74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64D45"/>
      </patternFill>
    </fill>
    <fill>
      <patternFill patternType="solid">
        <fgColor rgb="FFE5F3EE"/>
      </patternFill>
    </fill>
    <fill>
      <patternFill patternType="solid">
        <fgColor rgb="FFF1F7F4"/>
      </patternFill>
    </fill>
    <fill>
      <patternFill patternType="solid">
        <fgColor rgb="FFE3F1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 applyProtection="1">
      <protection locked="0" hidden="0"/>
    </xf>
    <xf numFmtId="0" fontId="1" fillId="0" borderId="0" xfId="0" applyNumberFormat="1" applyFont="1" applyFill="1" applyBorder="1" applyProtection="1">
      <protection locked="0" hidden="0"/>
    </xf>
    <xf numFmtId="0" fontId="1" fillId="0" borderId="0" xfId="0" applyNumberFormat="1" applyFont="1" applyFill="1" applyBorder="1" applyAlignment="1" applyProtection="1">
      <alignment vertical="center"/>
      <protection locked="0" hidden="0"/>
    </xf>
    <xf numFmtId="0" fontId="2" fillId="0" borderId="0" xfId="0" applyNumberFormat="1" applyFont="1" applyFill="1" applyBorder="1" applyAlignment="1" applyProtection="1">
      <alignment vertical="center"/>
      <protection locked="0" hidden="0"/>
    </xf>
    <xf numFmtId="0" fontId="1" fillId="2" borderId="0" xfId="0" applyNumberFormat="1" applyFont="1" applyFill="1" applyBorder="1" applyAlignment="1" applyProtection="1">
      <alignment vertical="center"/>
      <protection locked="0" hidden="0"/>
    </xf>
    <xf numFmtId="0" fontId="3" fillId="2" borderId="0" xfId="0" applyNumberFormat="1" applyFont="1" applyFill="1" applyBorder="1" applyAlignment="1" applyProtection="1">
      <alignment vertical="center"/>
      <protection locked="0" hidden="0"/>
    </xf>
    <xf numFmtId="0" fontId="3" fillId="2" borderId="0" xfId="0" applyNumberFormat="1" applyFont="1" applyFill="1" applyBorder="1" applyAlignment="1" applyProtection="1">
      <alignment vertical="center" wrapText="1"/>
      <protection locked="0" hidden="0"/>
    </xf>
    <xf numFmtId="0" fontId="1" fillId="3" borderId="0" xfId="0" applyNumberFormat="1" applyFont="1" applyFill="1" applyBorder="1" applyAlignment="1" applyProtection="1">
      <alignment vertical="center"/>
      <protection locked="0" hidden="0"/>
    </xf>
    <xf numFmtId="0" fontId="4" fillId="3" borderId="0" xfId="0" applyNumberFormat="1" applyFont="1" applyFill="1" applyBorder="1" applyAlignment="1" applyProtection="1">
      <alignment vertical="center"/>
      <protection locked="0" hidden="0"/>
    </xf>
    <xf numFmtId="0" fontId="5" fillId="0" borderId="0" xfId="0" applyNumberFormat="1" applyFont="1" applyFill="1" applyBorder="1" applyAlignment="1" applyProtection="1">
      <alignment vertical="center"/>
      <protection locked="0" hidden="0"/>
    </xf>
    <xf numFmtId="0" fontId="5" fillId="0" borderId="0" xfId="0" applyNumberFormat="1" applyFont="1" applyFill="1" applyBorder="1" applyAlignment="1" applyProtection="1">
      <alignment vertical="center" wrapText="1"/>
      <protection locked="0" hidden="0"/>
    </xf>
    <xf numFmtId="200" fontId="4" fillId="3" borderId="0" xfId="0" applyNumberFormat="1" applyFont="1" applyFill="1" applyBorder="1" applyAlignment="1" applyProtection="1">
      <alignment vertical="center"/>
      <protection locked="0" hidden="0"/>
    </xf>
    <xf numFmtId="201" fontId="4" fillId="3" borderId="0" xfId="0" applyNumberFormat="1" applyFont="1" applyFill="1" applyBorder="1" applyAlignment="1" applyProtection="1">
      <alignment vertical="center"/>
      <protection locked="0" hidden="0"/>
    </xf>
    <xf numFmtId="202" fontId="4" fillId="3" borderId="0" xfId="0" applyNumberFormat="1" applyFont="1" applyFill="1" applyBorder="1" applyAlignment="1" applyProtection="1">
      <alignment vertical="center"/>
      <protection locked="0" hidden="0"/>
    </xf>
    <xf numFmtId="202" fontId="1" fillId="0" borderId="0" xfId="0" applyNumberFormat="1" applyFont="1" applyFill="1" applyBorder="1" applyAlignment="1" applyProtection="1">
      <alignment vertical="center"/>
      <protection locked="0" hidden="0"/>
    </xf>
    <xf numFmtId="203" fontId="4" fillId="3" borderId="0" xfId="0" applyNumberFormat="1" applyFont="1" applyFill="1" applyBorder="1" applyAlignment="1" applyProtection="1">
      <alignment vertical="center"/>
      <protection locked="0" hidden="0"/>
    </xf>
    <xf numFmtId="0" fontId="0" fillId="2" borderId="0" xfId="0" applyNumberFormat="1" applyFont="1" applyFill="1" applyBorder="1" applyProtection="1">
      <protection locked="0" hidden="0"/>
    </xf>
    <xf numFmtId="0" fontId="6" fillId="2" borderId="0" xfId="0" applyNumberFormat="1" applyFont="1" applyFill="1" applyBorder="1" applyProtection="1">
      <protection locked="0" hidden="0"/>
    </xf>
    <xf numFmtId="0" fontId="6" fillId="2" borderId="0" xfId="0" applyNumberFormat="1" applyFont="1" applyFill="1" applyBorder="1" applyAlignment="1" applyProtection="1">
      <alignment wrapText="1"/>
      <protection locked="0" hidden="0"/>
    </xf>
    <xf numFmtId="0" fontId="0" fillId="4" borderId="0" xfId="0" applyNumberFormat="1" applyFont="1" applyFill="1" applyBorder="1" applyProtection="1">
      <protection locked="0" hidden="0"/>
    </xf>
    <xf numFmtId="0" fontId="6" fillId="4" borderId="0" xfId="0" applyNumberFormat="1" applyFont="1" applyFill="1" applyBorder="1" applyAlignment="1" applyProtection="1">
      <alignment wrapText="1"/>
      <protection locked="0" hidden="0"/>
    </xf>
    <xf numFmtId="0" fontId="7" fillId="4" borderId="0" xfId="0" applyNumberFormat="1" applyFont="1" applyFill="1" applyBorder="1" applyProtection="1">
      <protection locked="0" hidden="0"/>
    </xf>
    <xf numFmtId="0" fontId="8" fillId="4" borderId="0" xfId="0" applyNumberFormat="1" applyFont="1" applyFill="1" applyBorder="1" applyAlignment="1" applyProtection="1">
      <alignment wrapText="1"/>
      <protection locked="0" hidden="0"/>
    </xf>
    <xf numFmtId="204" fontId="4" fillId="3" borderId="0" xfId="0" applyNumberFormat="1" applyFont="1" applyFill="1" applyBorder="1" applyAlignment="1" applyProtection="1">
      <alignment vertical="center"/>
      <protection locked="0" hidden="0"/>
    </xf>
    <xf numFmtId="204" fontId="1" fillId="0" borderId="0" xfId="0" applyNumberFormat="1" applyFont="1" applyFill="1" applyBorder="1" applyAlignment="1" applyProtection="1">
      <alignment vertical="center"/>
      <protection locked="0" hidden="0"/>
    </xf>
    <xf numFmtId="204" fontId="5" fillId="0" borderId="0" xfId="0" applyNumberFormat="1" applyFont="1" applyFill="1" applyBorder="1" applyAlignment="1" applyProtection="1">
      <alignment vertical="center" wrapText="1"/>
      <protection locked="0" hidden="0"/>
    </xf>
    <xf numFmtId="200" fontId="1" fillId="0" borderId="0" xfId="0" applyNumberFormat="1" applyFont="1" applyFill="1" applyBorder="1" applyAlignment="1" applyProtection="1">
      <alignment vertical="center"/>
      <protection locked="0" hidden="0"/>
    </xf>
    <xf numFmtId="0" fontId="1" fillId="4" borderId="0" xfId="0" applyNumberFormat="1" applyFont="1" applyFill="1" applyBorder="1" applyAlignment="1" applyProtection="1">
      <alignment vertical="center"/>
      <protection locked="0" hidden="0"/>
    </xf>
    <xf numFmtId="0" fontId="9" fillId="4" borderId="0" xfId="0" applyNumberFormat="1" applyFont="1" applyFill="1" applyBorder="1" applyAlignment="1" applyProtection="1">
      <alignment vertical="center"/>
      <protection locked="0" hidden="0"/>
    </xf>
    <xf numFmtId="205" fontId="9" fillId="4" borderId="0" xfId="0" applyNumberFormat="1" applyFont="1" applyFill="1" applyBorder="1" applyAlignment="1" applyProtection="1">
      <alignment vertical="center"/>
      <protection locked="0" hidden="0"/>
    </xf>
    <xf numFmtId="200" fontId="9" fillId="4" borderId="0" xfId="0" applyNumberFormat="1" applyFont="1" applyFill="1" applyBorder="1" applyAlignment="1" applyProtection="1">
      <alignment vertical="center"/>
      <protection locked="0" hidden="0"/>
    </xf>
    <xf numFmtId="201" fontId="1" fillId="0" borderId="0" xfId="0" applyNumberFormat="1" applyFont="1" applyFill="1" applyBorder="1" applyAlignment="1" applyProtection="1">
      <alignment vertical="center"/>
      <protection locked="0" hidden="0"/>
    </xf>
    <xf numFmtId="0" fontId="1" fillId="0" borderId="0" xfId="0" applyNumberFormat="1" applyFont="1" applyFill="1" applyBorder="1" applyAlignment="1" applyProtection="1">
      <alignment vertical="center" wrapText="1"/>
      <protection locked="0" hidden="0"/>
    </xf>
    <xf numFmtId="203" fontId="1" fillId="0" borderId="0" xfId="0" applyNumberFormat="1" applyFont="1" applyFill="1" applyBorder="1" applyAlignment="1" applyProtection="1">
      <alignment vertical="center"/>
      <protection locked="0" hidden="0"/>
    </xf>
    <xf numFmtId="202" fontId="10" fillId="0" borderId="0" xfId="0" applyNumberFormat="1" applyFont="1" applyFill="1" applyBorder="1" applyAlignment="1" applyProtection="1">
      <alignment vertical="center"/>
      <protection locked="0" hidden="0"/>
    </xf>
    <xf numFmtId="0" fontId="4" fillId="3" borderId="0" xfId="0" applyNumberFormat="1" applyFont="1" applyFill="1" applyBorder="1" applyAlignment="1" applyProtection="1">
      <alignment vertical="center" wrapText="1"/>
      <protection locked="0" hidden="0"/>
    </xf>
    <xf numFmtId="0" fontId="2" fillId="2" borderId="0" xfId="0" applyNumberFormat="1" applyFont="1" applyFill="1" applyBorder="1" applyAlignment="1" applyProtection="1">
      <alignment vertical="center"/>
      <protection locked="0" hidden="0"/>
    </xf>
    <xf numFmtId="0" fontId="11" fillId="2" borderId="0" xfId="0" applyNumberFormat="1" applyFont="1" applyFill="1" applyBorder="1" applyAlignment="1" applyProtection="1">
      <alignment vertical="center"/>
      <protection locked="0" hidden="0"/>
    </xf>
    <xf numFmtId="205" fontId="9" fillId="5" borderId="0" xfId="0" applyNumberFormat="1" applyFont="1" applyFill="1" applyBorder="1" applyAlignment="1" applyProtection="1">
      <alignment vertical="center"/>
      <protection locked="0" hidden="0"/>
    </xf>
    <xf numFmtId="200" fontId="9" fillId="5" borderId="0" xfId="0" applyNumberFormat="1" applyFont="1" applyFill="1" applyBorder="1" applyAlignment="1" applyProtection="1">
      <alignment vertical="center"/>
      <protection locked="0" hidden="0"/>
    </xf>
    <xf numFmtId="0" fontId="12" fillId="2" borderId="0" xfId="0" applyNumberFormat="1" applyFont="1" applyFill="1" applyBorder="1" applyAlignment="1" applyProtection="1">
      <alignment vertical="center"/>
      <protection locked="0" hidden="0"/>
    </xf>
    <xf numFmtId="0" fontId="13" fillId="0" borderId="0" xfId="0" applyNumberFormat="1" applyFont="1" applyFill="1" applyBorder="1" applyProtection="1">
      <protection locked="0" hidden="0"/>
    </xf>
    <xf numFmtId="201" fontId="13" fillId="0" borderId="0" xfId="0" applyNumberFormat="1" applyFont="1" applyFill="1" applyBorder="1" applyProtection="1">
      <protection locked="0" hidden="0"/>
    </xf>
    <xf numFmtId="202" fontId="13" fillId="0" borderId="0" xfId="0" applyNumberFormat="1" applyFont="1" applyFill="1" applyBorder="1" applyProtection="1">
      <protection locked="0" hidden="0"/>
    </xf>
    <xf numFmtId="0" fontId="7" fillId="0" borderId="0" xfId="0" applyNumberFormat="1" applyFont="1" applyFill="1" applyBorder="1" applyProtection="1">
      <protection locked="0" hidden="0"/>
    </xf>
    <xf numFmtId="0" fontId="7" fillId="0" borderId="0" xfId="0" applyNumberFormat="1" applyFont="1" applyFill="1" applyBorder="1" applyAlignment="1" applyProtection="1">
      <alignment wrapText="1"/>
      <protection locked="0" hidden="0"/>
    </xf>
    <xf numFmtId="206" fontId="1" fillId="0" borderId="0" xfId="0" applyNumberFormat="1" applyFont="1" applyFill="1" applyBorder="1" applyAlignment="1" applyProtection="1">
      <alignment vertical="center"/>
      <protection locked="0" hidden="0"/>
    </xf>
    <xf numFmtId="0" fontId="1" fillId="5" borderId="0" xfId="0" applyNumberFormat="1" applyFont="1" applyFill="1" applyBorder="1" applyAlignment="1" applyProtection="1">
      <alignment vertical="center"/>
      <protection locked="0" hidden="0"/>
    </xf>
    <xf numFmtId="0" fontId="14" fillId="5" borderId="0" xfId="0" applyNumberFormat="1" applyFont="1" applyFill="1" applyBorder="1" applyAlignment="1" applyProtection="1">
      <alignment vertical="center"/>
      <protection locked="0" hidden="0"/>
    </xf>
    <xf numFmtId="205" fontId="14" fillId="5" borderId="0" xfId="0" applyNumberFormat="1" applyFont="1" applyFill="1" applyBorder="1" applyAlignment="1" applyProtection="1">
      <alignment vertical="center"/>
      <protection locked="0" hidden="0"/>
    </xf>
    <xf numFmtId="200" fontId="14" fillId="5" borderId="0" xfId="0" applyNumberFormat="1" applyFont="1" applyFill="1" applyBorder="1" applyAlignment="1" applyProtection="1">
      <alignment vertical="center"/>
      <protection locked="0" hidden="0"/>
    </xf>
    <xf numFmtId="0" fontId="4" fillId="3" borderId="0" xfId="0" applyNumberFormat="1" applyFont="1" applyFill="1" applyBorder="1" applyAlignment="1" applyProtection="1">
      <alignment vertical="center"/>
      <protection locked="0" hidden="0"/>
    </xf>
    <xf numFmtId="200" fontId="4" fillId="3" borderId="0" xfId="0" applyNumberFormat="1" applyFont="1" applyFill="1" applyBorder="1" applyAlignment="1" applyProtection="1">
      <alignment vertical="center"/>
      <protection locked="0" hidden="0"/>
    </xf>
    <xf numFmtId="201" fontId="4" fillId="3" borderId="0" xfId="0" applyNumberFormat="1" applyFont="1" applyFill="1" applyBorder="1" applyAlignment="1" applyProtection="1">
      <alignment vertical="center"/>
      <protection locked="0" hidden="0"/>
    </xf>
    <xf numFmtId="0" fontId="4" fillId="3" borderId="0" xfId="0" applyNumberFormat="1" applyFont="1" applyFill="1" applyBorder="1" applyAlignment="1" applyProtection="1">
      <alignment vertical="center" wrapText="1"/>
      <protection locked="0" hidden="0"/>
    </xf>
    <xf numFmtId="202" fontId="4" fillId="3" borderId="0" xfId="0" applyNumberFormat="1" applyFont="1" applyFill="1" applyBorder="1" applyAlignment="1" applyProtection="1">
      <alignment vertical="center"/>
      <protection locked="0" hidden="0"/>
    </xf>
    <xf numFmtId="203" fontId="4" fillId="3" borderId="0" xfId="0" applyNumberFormat="1" applyFont="1" applyFill="1" applyBorder="1" applyAlignment="1" applyProtection="1">
      <alignment vertical="center"/>
      <protection locked="0" hidden="0"/>
    </xf>
    <xf numFmtId="204" fontId="4" fillId="3" borderId="0" xfId="0" applyNumberFormat="1" applyFont="1" applyFill="1" applyBorder="1" applyAlignment="1" applyProtection="1">
      <alignment vertical="center"/>
      <protection locked="0" hidden="0"/>
    </xf>
  </cellXfs>
  <cellStyles count="1">
    <cellStyle name="Normal" xfId="0"/>
  </cellStyles>
  <dxfs count="8">
    <dxf>
      <font>
        <b/>
        <color rgb="FF9D2828"/>
      </font>
      <fill>
        <patternFill patternType="solid">
          <bgColor rgb="FFFBE9E7"/>
        </patternFill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color rgb="FF9D2828"/>
      </font>
      <fill>
        <patternFill patternType="solid">
          <bgColor rgb="FFFBE9E7"/>
        </patternFill>
      </fill>
    </dxf>
    <dxf>
      <font>
        <b/>
        <color rgb="FF165440"/>
      </font>
      <fill>
        <patternFill patternType="solid">
          <bgColor rgb="FFDFF0E5"/>
        </patternFill>
      </fill>
    </dxf>
    <dxf>
      <font>
        <b/>
        <color rgb="FF5E6E68"/>
      </font>
      <fill>
        <patternFill patternType="solid">
          <bgColor rgb="FFF0F3F2"/>
        </patternFill>
      </fill>
    </dxf>
    <dxf>
      <font>
        <b/>
        <color rgb="FF9B3127"/>
      </font>
      <fill>
        <patternFill patternType="solid">
          <bgColor rgb="FFFBE3DE"/>
        </patternFill>
      </fill>
    </dxf>
    <dxf>
      <font>
        <b/>
        <color rgb="FFFFFFFF"/>
      </font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54475f0fe4b21" /><Relationship Type="http://schemas.openxmlformats.org/officeDocument/2006/relationships/theme" Target="/xl/theme/theme1.xml" Id="R0dff43bde3a943b7" /><Relationship Type="http://schemas.openxmlformats.org/officeDocument/2006/relationships/sharedStrings" Target="/xl/sharedStrings.xml" Id="R97da1003abdc49db" /><Relationship Type="http://schemas.openxmlformats.org/officeDocument/2006/relationships/worksheet" Target="/xl/worksheets/sheet1.xml" Id="R8f57ce5fccb241be" /><Relationship Type="http://schemas.openxmlformats.org/officeDocument/2006/relationships/worksheet" Target="/xl/worksheets/sheet2.xml" Id="Re9a8ac2fad5b4639" /><Relationship Type="http://schemas.openxmlformats.org/officeDocument/2006/relationships/worksheet" Target="/xl/worksheets/sheet3.xml" Id="R867db3e063774bbb" /><Relationship Type="http://schemas.openxmlformats.org/officeDocument/2006/relationships/worksheet" Target="/xl/worksheets/sheet4.xml" Id="R4f9b7a7239d9425d" /><Relationship Type="http://schemas.openxmlformats.org/officeDocument/2006/relationships/worksheet" Target="/xl/worksheets/sheet5.xml" Id="R3175dddf85eb404d" /><Relationship Type="http://schemas.openxmlformats.org/officeDocument/2006/relationships/worksheet" Target="/xl/worksheets/sheet6.xml" Id="Rdd4da4f0391a42b0" /><Relationship Type="http://schemas.openxmlformats.org/officeDocument/2006/relationships/worksheet" Target="/xl/worksheets/sheet7.xml" Id="Ra47f2bd6f4234dd8" /><Relationship Type="http://schemas.openxmlformats.org/officeDocument/2006/relationships/worksheet" Target="/xl/worksheets/sheet8.xml" Id="R63740e8e449646a6" /><Relationship Type="http://schemas.openxmlformats.org/officeDocument/2006/relationships/worksheet" Target="/xl/worksheets/sheet9.xml" Id="Rba33af1e3ff84615" /><Relationship Type="http://schemas.openxmlformats.org/officeDocument/2006/relationships/worksheet" Target="/xl/worksheets/sheet10.xml" Id="R940217df1d544daf" /><Relationship Type="http://schemas.openxmlformats.org/officeDocument/2006/relationships/worksheet" Target="/xl/worksheets/sheet11.xml" Id="R49ddb11995794b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32450611b44ac0" /><Relationship Type="http://schemas.openxmlformats.org/officeDocument/2006/relationships/chart" Target="/xl/drawings/charts/chart2.xml" Id="R0c7daa663b4f4ae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07fd554c0674c2e" /><Relationship Type="http://schemas.openxmlformats.org/officeDocument/2006/relationships/chart" Target="/xl/drawings/charts/chart4.xml" Id="R40df5e4b48ab4fa9" /><Relationship Type="http://schemas.openxmlformats.org/officeDocument/2006/relationships/chart" Target="/xl/drawings/charts/chart5.xml" Id="Rb5a77215ae3140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Yu Gothic"/>
                <a:ea typeface="Yu Gothic"/>
                <a:cs typeface="Yu Gothic"/>
              </a:rPr>
              <a:t>基準と試算の比較（円）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Yu Gothic"/>
              <a:ea typeface="Yu Gothic"/>
              <a:cs typeface="Yu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基準</c:v>
          </c:tx>
          <c:spPr>
            <a:solidFill xmlns:a="http://schemas.openxmlformats.org/drawingml/2006/main">
              <a:srgbClr val="B2CF69"/>
            </a:solidFill>
          </c:spPr>
          <c:invertIfNegative val="0"/>
          <c:cat>
            <c:strRef>
              <c:f>'計算'!$L$30:$L$32</c:f>
              <c:strCache>
                <c:ptCount val="0"/>
              </c:strCache>
            </c:strRef>
          </c:cat>
          <c:val>
            <c:numRef>
              <c:f>'計算'!$M$30:$M$32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試算</c:v>
          </c:tx>
          <c:spPr>
            <a:solidFill xmlns:a="http://schemas.openxmlformats.org/drawingml/2006/main">
              <a:srgbClr val="07988A"/>
            </a:solidFill>
          </c:spPr>
          <c:invertIfNegative val="0"/>
          <c:cat>
            <c:strRef>
              <c:f>'計算'!$L$30:$L$32</c:f>
              <c:strCache>
                <c:ptCount val="0"/>
              </c:strCache>
            </c:strRef>
          </c:cat>
          <c:val>
            <c:numRef>
              <c:f>'計算'!$N$30:$N$32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Yu Gothic"/>
                <a:ea typeface="Yu Gothic"/>
                <a:cs typeface="Yu Gothic"/>
              </a:rPr>
              <a:t>値引率と利益（概算・円）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Yu Gothic"/>
              <a:ea typeface="Yu Gothic"/>
              <a:cs typeface="Yu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利益(円)</c:v>
          </c:tx>
          <c:spPr>
            <a:ln xmlns:a="http://schemas.openxmlformats.org/drawingml/2006/main" w="19050">
              <a:solidFill>
                <a:srgbClr val="07988A"/>
              </a:solidFill>
              <a:prstDash val="solid"/>
            </a:ln>
          </c:spPr>
          <c:marker>
            <c:symbol val="none"/>
          </c:marker>
          <c:cat>
            <c:strRef>
              <c:f>'計算'!$L$36:$L$46</c:f>
              <c:strCache>
                <c:ptCount val="0"/>
              </c:strCache>
            </c:strRef>
          </c:cat>
          <c:val>
            <c:numRef>
              <c:f>'計算'!$M$36:$M$46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hartSpace xmlns="http://schemas.openxmlformats.org/drawingml/2006/chart" xmlns:ns1="http://schemas.openxmlformats.org/drawingml/2006/main">
  <lang val="en-US"/>
  <roundedCorners val="0"/>
  <chart>
    <title>
      <tx>
        <rich>
          <ns1:bodyPr/>
          <ns1:lstStyle/>
          <ns1:p>
            <ns1:r>
              <ns1:rPr sz="975">
                <ns1:latin typeface="Yu Gothic"/>
                <ns1:ea typeface="Yu Gothic"/>
                <ns1:cs typeface="Yu Gothic"/>
              </ns1:rPr>
              <ns1:t>業種別売上構成</ns1:t>
            </ns1:r>
          </ns1:p>
        </rich>
      </tx>
      <overlay val="0"/>
      <txPr>
        <ns1:bodyPr anchorCtr="1"/>
        <ns1:lstStyle/>
        <ns1:p>
          <ns1:pPr>
            <ns1:defRPr sz="975">
              <ns1:latin typeface="Yu Gothic"/>
              <ns1:ea typeface="Yu Gothic"/>
              <ns1:cs typeface="Yu Gothic"/>
            </ns1:defRPr>
          </ns1:pPr>
        </ns1:p>
      </txPr>
    </title>
    <plotArea>
      <doughnutChart>
        <ser>
          <idx val="0"/>
          <order val="0"/>
          <tx>
            <v>売上（円）</v>
          </tx>
          <spPr>
            <ns1:solidFill>
              <ns1:srgbClr val="07988A"/>
            </ns1:solidFill>
          </spPr>
          <dPt>
            <idx val="0"/>
            <spPr>
              <ns1:solidFill>
                <ns1:srgbClr val="07988A"/>
              </ns1:solidFill>
            </spPr>
          </dPt>
          <dPt>
            <idx val="1"/>
            <spPr>
              <ns1:solidFill>
                <ns1:srgbClr val="A9CD55"/>
              </ns1:solidFill>
            </spPr>
          </dPt>
          <cat>
            <strRef>
              <f>'売上分析'!$H$43:$H$44</f>
              <strCache>
                <ptCount val="0"/>
              </strCache>
            </strRef>
          </cat>
          <val>
            <numRef>
              <f>'売上分析'!$I$43:$I$44</f>
              <numCache>
                <formatCode>General</formatCode>
                <ptCount val="0"/>
              </numCache>
            </numRef>
          </val>
        </ser>
      </doughnutChart>
    </plotArea>
    <legend>
      <legendPos val="b"/>
      <overlay val="0"/>
      <txPr>
        <ns1:bodyPr anchorCtr="1"/>
        <ns1:lstStyle/>
        <ns1:p>
          <ns1:pPr>
            <ns1:defRPr sz="750">
              <ns1:latin typeface="Yu Gothic"/>
              <ns1:ea typeface="Yu Gothic"/>
              <ns1:cs typeface="Yu Gothic"/>
            </ns1:defRPr>
          </ns1:pPr>
        </ns1:p>
      </txPr>
    </legend>
    <plotVisOnly val="1"/>
  </chart>
  <spPr>
    <ns1:ln w="9525">
      <ns1:solidFill>
        <ns1:srgbClr val="D9D9D9"/>
      </ns1:solidFill>
      <ns1:prstDash val="solid"/>
    </ns1:ln>
  </spPr>
</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Yu Gothic"/>
                <a:ea typeface="Yu Gothic"/>
                <a:cs typeface="Yu Gothic"/>
              </a:rPr>
              <a:t>月別売上（千円）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Yu Gothic"/>
              <a:ea typeface="Yu Gothic"/>
              <a:cs typeface="Yu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売上（円）</c:v>
          </c:tx>
          <c:spPr>
            <a:solidFill xmlns:a="http://schemas.openxmlformats.org/drawingml/2006/main">
              <a:srgbClr val="07988A"/>
            </a:solidFill>
            <a:ln xmlns:a="http://schemas.openxmlformats.org/drawingml/2006/main" w="28575">
              <a:solidFill>
                <a:srgbClr val="07988A"/>
              </a:solidFill>
            </a:ln>
          </c:spPr>
          <c:marker>
            <c:symbol val="none"/>
          </c:marker>
          <c:cat>
            <c:strRef>
              <c:f>'売上分析'!$A$43:$A$54</c:f>
              <c:strCache>
                <c:ptCount val="0"/>
              </c:strCache>
            </c:strRef>
          </c:cat>
          <c:val>
            <c:numRef>
              <c:f>'売上分析'!$B$43:$B$54</c:f>
              <c:numCache>
                <c:formatCode>#,##0,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Yu Gothic"/>
                <a:ea typeface="Yu Gothic"/>
                <a:cs typeface="Yu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,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Yu Gothic"/>
                <a:ea typeface="Yu Gothic"/>
                <a:cs typeface="Yu 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Yu Gothic"/>
                <a:ea typeface="Yu Gothic"/>
                <a:cs typeface="Yu Gothic"/>
              </a:rPr>
              <a:t>商品別売上（千円）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Yu Gothic"/>
              <a:ea typeface="Yu Gothic"/>
              <a:cs typeface="Yu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売上（円）</c:v>
          </c:tx>
          <c:spPr>
            <a:solidFill xmlns:a="http://schemas.openxmlformats.org/drawingml/2006/main">
              <a:srgbClr val="07988A"/>
            </a:solidFill>
          </c:spPr>
          <c:invertIfNegative val="0"/>
          <c:cat>
            <c:strRef>
              <c:f>'売上分析'!$E$43:$E$50</c:f>
              <c:strCache>
                <c:ptCount val="0"/>
              </c:strCache>
            </c:strRef>
          </c:cat>
          <c:val>
            <c:numRef>
              <c:f>'売上分析'!$F$43:$F$50</c:f>
              <c:numCache>
                <c:formatCode>#,##0,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Yu Gothic"/>
                <a:ea typeface="Yu Gothic"/>
                <a:cs typeface="Yu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,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Yu Gothic"/>
                <a:ea typeface="Yu Gothic"/>
                <a:cs typeface="Yu 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32450611b44ac0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7daa663b4f4ae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7fd554c0674c2e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df5e4b48ab4fa9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a77215ae3140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History" displayName="SalesHistory" ref="A4:I580" headerRowCount="1" totalsRowCount="0" totalsRowShown="0">
  <x:tableColumns count="9">
    <x:tableColumn id="1" name="日付"/>
    <x:tableColumn id="2" name="業種"/>
    <x:tableColumn id="3" name="商品"/>
    <x:tableColumn id="4" name="数量"/>
    <x:tableColumn id="5" name="税抜単価"/>
    <x:tableColumn id="6" name="税抜売上"/>
    <x:tableColumn id="7" name="計上原価"/>
    <x:tableColumn id="8" name="計上原価控除後差額"/>
    <x:tableColumn id="9" name="データ区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comments" Target="/xl/comments1.xml" Id="R9417953fb6ee45c3" /><Relationship Type="http://schemas.openxmlformats.org/officeDocument/2006/relationships/vmlDrawing" Target="/xl/drawings/vmldrawing.vml" Id="R2a96a61087cc4aa3" /><Relationship Type="http://schemas.openxmlformats.org/officeDocument/2006/relationships/drawing" Target="/xl/drawings/drawing1.xml" Id="R5ebc0934a04443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019c131eeb5b499c" /><Relationship Type="http://schemas.openxmlformats.org/officeDocument/2006/relationships/vmlDrawing" Target="/xl/drawings/vmldrawing2.vml" Id="R7eb32e66dfad4d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0b64ac53f5f14a77" /><Relationship Type="http://schemas.openxmlformats.org/officeDocument/2006/relationships/vmlDrawing" Target="/xl/drawings/vmldrawing3.vml" Id="R0b0d30d100c5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004b68150df04034" /><Relationship Type="http://schemas.openxmlformats.org/officeDocument/2006/relationships/vmlDrawing" Target="/xl/drawings/vmldrawing4.vml" Id="R0f2039c227664f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6d6333bfa3b94d5d" /><Relationship Type="http://schemas.openxmlformats.org/officeDocument/2006/relationships/vmlDrawing" Target="/xl/drawings/vmldrawing5.vml" Id="R82e0c9b0626d4b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6.xml" Id="Rcc2d0a2b414c4b20" /><Relationship Type="http://schemas.openxmlformats.org/officeDocument/2006/relationships/vmlDrawing" Target="/xl/drawings/vmldrawing6.vml" Id="Radd7309b87e741c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5a27ad4e9ee141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.xml" Id="Rc3c7b4cdb03849a9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4D45"/>
  </sheetPr>
  <sheetViews>
    <sheetView showGridLines="0" workbookViewId="0" zoomScale="80" zoomScaleNormal="100"/>
  </sheetViews>
  <sheetFormatPr defaultRowHeight="15"/>
  <cols>
    <col min="1" max="1" width="22" hidden="0" customWidth="1"/>
    <col min="2" max="2" width="21" hidden="0" customWidth="1"/>
    <col min="3" max="3" width="24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5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7" t="str">
        <v>見積・原価・利益シミュレーター</v>
      </c>
      <c r="B2" s="37"/>
      <c r="C2" s="37"/>
      <c r="D2" s="37"/>
      <c r="E2" s="37"/>
      <c r="F2" s="37"/>
      <c r="G2" s="37"/>
      <c r="H2" s="37"/>
      <c r="I2" s="37"/>
      <c r="J2" s="37"/>
      <c r="K2" s="2"/>
    </row>
    <row r="3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24" customHeight="1">
      <c r="A5" s="2" t="str">
        <v>対象業種</v>
      </c>
      <c r="B5" s="51" t="str">
        <v>木工所</v>
      </c>
      <c r="C5" s="2"/>
      <c r="D5" s="2" t="str">
        <v>試算売上</v>
      </c>
      <c r="E5" s="2"/>
      <c r="F5" s="2"/>
      <c r="G5" s="2" t="str">
        <v>試算原価</v>
      </c>
      <c r="H5" s="2"/>
      <c r="I5" s="2"/>
      <c r="J5" s="2"/>
      <c r="K5" s="2"/>
    </row>
    <row r="6" ht="24" customHeight="1">
      <c r="A6" s="2"/>
      <c r="B6" s="2"/>
      <c r="C6" s="2"/>
      <c r="D6" s="38" t="n">
        <f>'計算'!B30</f>
        <v>160000</v>
      </c>
      <c r="E6" s="38"/>
      <c r="F6" s="38"/>
      <c r="G6" s="38" t="n">
        <f>'計算'!B31</f>
        <v>88000</v>
      </c>
      <c r="H6" s="38"/>
      <c r="I6" s="38"/>
      <c r="J6" s="38"/>
      <c r="K6" s="2"/>
    </row>
    <row r="7" ht="24" customHeight="1">
      <c r="A7" s="2" t="str">
        <v>目標利益率</v>
      </c>
      <c r="B7" s="52" t="n">
        <v>0.3</v>
      </c>
      <c r="C7" s="2"/>
      <c r="D7" s="38"/>
      <c r="E7" s="38"/>
      <c r="F7" s="38"/>
      <c r="G7" s="38"/>
      <c r="H7" s="38"/>
      <c r="I7" s="38"/>
      <c r="J7" s="38"/>
      <c r="K7" s="2"/>
    </row>
    <row r="8" ht="24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ht="24" customHeight="1">
      <c r="A9" s="2" t="str">
        <v>試算値引率(%)</v>
      </c>
      <c r="B9" s="51" t="n">
        <v>0</v>
      </c>
      <c r="C9" s="2"/>
      <c r="D9" s="2" t="str">
        <v>予定案件利益</v>
      </c>
      <c r="E9" s="2"/>
      <c r="F9" s="2"/>
      <c r="G9" s="2" t="str">
        <v>予定案件利益率</v>
      </c>
      <c r="H9" s="2"/>
      <c r="I9" s="2"/>
      <c r="J9" s="2"/>
      <c r="K9" s="2"/>
    </row>
    <row r="10" ht="24" customHeight="1">
      <c r="A10" s="2"/>
      <c r="B10" s="2"/>
      <c r="C10" s="2"/>
      <c r="D10" s="38" t="n">
        <f>'計算'!B32</f>
        <v>72000</v>
      </c>
      <c r="E10" s="38"/>
      <c r="F10" s="38"/>
      <c r="G10" s="39" t="n">
        <f>'計算'!B33</f>
        <v>0.45</v>
      </c>
      <c r="H10" s="39"/>
      <c r="I10" s="39"/>
      <c r="J10" s="39"/>
      <c r="K10" s="2"/>
    </row>
    <row r="11" ht="24" customHeight="1">
      <c r="A11" s="2" t="str">
        <v>原価増減率</v>
      </c>
      <c r="B11" s="52" t="n">
        <v>0</v>
      </c>
      <c r="C11" s="2"/>
      <c r="D11" s="38"/>
      <c r="E11" s="38"/>
      <c r="F11" s="38"/>
      <c r="G11" s="39"/>
      <c r="H11" s="39"/>
      <c r="I11" s="39"/>
      <c r="J11" s="39"/>
      <c r="K11" s="2"/>
    </row>
    <row r="12" ht="24" customHeight="1">
      <c r="A12" s="2"/>
      <c r="B12" s="2"/>
      <c r="C12" s="2"/>
      <c r="D12" s="2" t="str">
        <f>IF('計算'!B10&lt;&gt;"OK",'計算'!B10,IF('計算'!B30=0,"売価0円・利益率算出不可",IF('計算'!B32&lt;0,"赤字",IF('計算'!B33&lt;B7,"黒字・目標未達","目標達成"))))</f>
        <v>目標達成</v>
      </c>
      <c r="E12" s="2"/>
      <c r="F12" s="2"/>
      <c r="G12" s="2"/>
      <c r="H12" s="2"/>
      <c r="I12" s="2"/>
      <c r="J12" s="2"/>
      <c r="K12" s="2"/>
    </row>
    <row r="13" ht="32" customHeight="1">
      <c r="A13" s="10" t="str">
        <v>原価増減率は原価全体への一律試算です。個別条件・数量変更は見積入力と業種別原価シートで行います。</v>
      </c>
      <c r="B13" s="10"/>
      <c r="C13" s="10"/>
      <c r="D13" s="10"/>
      <c r="E13" s="10"/>
      <c r="F13" s="10"/>
      <c r="G13" s="10"/>
      <c r="H13" s="10"/>
      <c r="I13" s="10"/>
      <c r="J13" s="10"/>
      <c r="K13" s="2"/>
    </row>
    <row r="14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32" customHeight="1">
      <c r="A15" s="10" t="str">
        <v>試算値引率は見積書に反映されません。採用する率を「見積入力」の確定値引率へ入力してください。</v>
      </c>
      <c r="B15" s="10"/>
      <c r="C15" s="10"/>
      <c r="D15" s="10"/>
      <c r="E15" s="10"/>
      <c r="F15" s="10"/>
      <c r="G15" s="10"/>
      <c r="H15" s="10"/>
      <c r="I15" s="10"/>
      <c r="J15" s="10"/>
      <c r="K15" s="2"/>
    </row>
    <row r="1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24" customHeight="1">
      <c r="A17" s="2" t="str">
        <v>目標必要売価</v>
      </c>
      <c r="B17" s="34" t="n">
        <f>'計算'!B34</f>
        <v>125715</v>
      </c>
      <c r="C17" s="2"/>
      <c r="D17" s="2" t="str">
        <v>目標維持値引上限</v>
      </c>
      <c r="E17" s="2"/>
      <c r="F17" s="26" t="n">
        <f>'計算'!B35</f>
        <v>0.21428124999999998</v>
      </c>
      <c r="G17" s="2" t="str">
        <v>共通経費</v>
      </c>
      <c r="H17" s="2" t="str">
        <f>'計算'!B11</f>
        <v>今回は未算入</v>
      </c>
      <c r="I17" s="2"/>
      <c r="J17" s="2"/>
      <c r="K17" s="2"/>
    </row>
    <row r="18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2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2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30" customHeight="1">
      <c r="A35" s="6" t="str">
        <v>明細ID</v>
      </c>
      <c r="B35" s="6" t="str">
        <v>品名</v>
      </c>
      <c r="C35" s="6" t="str">
        <v>試算売上</v>
      </c>
      <c r="D35" s="6" t="str">
        <v>紐付く原価</v>
      </c>
      <c r="E35" s="6" t="str">
        <v>共通費控除前差額</v>
      </c>
      <c r="F35" s="6" t="str">
        <v>同利益率</v>
      </c>
      <c r="G35" s="2"/>
      <c r="H35" s="2"/>
      <c r="I35" s="2"/>
      <c r="J35" s="2"/>
      <c r="K35" s="2"/>
    </row>
    <row r="36" ht="24" customHeight="1">
      <c r="A36" s="2" t="str">
        <f>'計算'!A16</f>
        <v>M001</v>
      </c>
      <c r="B36" s="2" t="str">
        <f>'計算'!B16</f>
        <v>テーブル</v>
      </c>
      <c r="C36" s="14" t="n">
        <f>'計算'!F16</f>
        <v>100000</v>
      </c>
      <c r="D36" s="14" t="n">
        <f>'計算'!G16</f>
        <v>50000</v>
      </c>
      <c r="E36" s="14" t="n">
        <f>IF(OR(A36="",'計算'!B10&lt;&gt;"OK"),"",C36-D36)</f>
        <v>50000</v>
      </c>
      <c r="F36" s="26" t="n">
        <f>IF(OR(A36="",'計算'!B10&lt;&gt;"OK"),"",IF(C36=0,"算出不可",E36/C36))</f>
        <v>0.5</v>
      </c>
      <c r="G36" s="2"/>
      <c r="H36" s="2"/>
      <c r="I36" s="2"/>
      <c r="J36" s="2"/>
      <c r="K36" s="2"/>
    </row>
    <row r="37" ht="24" customHeight="1">
      <c r="A37" s="2" t="str">
        <f>'計算'!A17</f>
        <v>M002</v>
      </c>
      <c r="B37" s="2" t="str">
        <f>'計算'!B17</f>
        <v>椅子</v>
      </c>
      <c r="C37" s="14" t="n">
        <f>'計算'!F17</f>
        <v>60000</v>
      </c>
      <c r="D37" s="14" t="n">
        <f>'計算'!G17</f>
        <v>30000</v>
      </c>
      <c r="E37" s="14" t="n">
        <f>IF(OR(A37="",'計算'!B10&lt;&gt;"OK"),"",C37-D37)</f>
        <v>30000</v>
      </c>
      <c r="F37" s="26" t="n">
        <f>IF(OR(A37="",'計算'!B10&lt;&gt;"OK"),"",IF(C37=0,"算出不可",E37/C37))</f>
        <v>0.5</v>
      </c>
      <c r="G37" s="2"/>
      <c r="H37" s="2"/>
      <c r="I37" s="2"/>
      <c r="J37" s="2"/>
      <c r="K37" s="2"/>
    </row>
    <row r="38" ht="24" customHeight="1">
      <c r="A38" s="2" t="str">
        <f>'計算'!A18</f>
      </c>
      <c r="B38" s="2" t="str">
        <f>'計算'!B18</f>
      </c>
      <c r="C38" s="14" t="str">
        <f>'計算'!F18</f>
      </c>
      <c r="D38" s="14" t="str">
        <f>'計算'!G18</f>
      </c>
      <c r="E38" s="14" t="str">
        <f>IF(OR(A38="",'計算'!B10&lt;&gt;"OK"),"",C38-D38)</f>
      </c>
      <c r="F38" s="26" t="str">
        <f>IF(OR(A38="",'計算'!B10&lt;&gt;"OK"),"",IF(C38=0,"算出不可",E38/C38))</f>
      </c>
      <c r="G38" s="2"/>
      <c r="H38" s="2"/>
      <c r="I38" s="2"/>
      <c r="J38" s="2"/>
      <c r="K38" s="2"/>
    </row>
    <row r="39" ht="24" customHeight="1">
      <c r="A39" s="2" t="str">
        <f>'計算'!A19</f>
      </c>
      <c r="B39" s="2" t="str">
        <f>'計算'!B19</f>
      </c>
      <c r="C39" s="14" t="str">
        <f>'計算'!F19</f>
      </c>
      <c r="D39" s="14" t="str">
        <f>'計算'!G19</f>
      </c>
      <c r="E39" s="14" t="str">
        <f>IF(OR(A39="",'計算'!B10&lt;&gt;"OK"),"",C39-D39)</f>
      </c>
      <c r="F39" s="26" t="str">
        <f>IF(OR(A39="",'計算'!B10&lt;&gt;"OK"),"",IF(C39=0,"算出不可",E39/C39))</f>
      </c>
      <c r="G39" s="2"/>
      <c r="H39" s="2"/>
      <c r="I39" s="2"/>
      <c r="J39" s="2"/>
      <c r="K39" s="2"/>
    </row>
    <row r="40" ht="24" customHeight="1">
      <c r="A40" s="2" t="str">
        <f>'計算'!A20</f>
      </c>
      <c r="B40" s="2" t="str">
        <f>'計算'!B20</f>
      </c>
      <c r="C40" s="14" t="str">
        <f>'計算'!F20</f>
      </c>
      <c r="D40" s="14" t="str">
        <f>'計算'!G20</f>
      </c>
      <c r="E40" s="14" t="str">
        <f>IF(OR(A40="",'計算'!B10&lt;&gt;"OK"),"",C40-D40)</f>
      </c>
      <c r="F40" s="26" t="str">
        <f>IF(OR(A40="",'計算'!B10&lt;&gt;"OK"),"",IF(C40=0,"算出不可",E40/C40))</f>
      </c>
      <c r="G40" s="2"/>
      <c r="H40" s="2"/>
      <c r="I40" s="2"/>
      <c r="J40" s="2"/>
      <c r="K40" s="2"/>
    </row>
    <row r="41" ht="24" customHeight="1">
      <c r="A41" s="2" t="str">
        <f>'計算'!A21</f>
      </c>
      <c r="B41" s="2" t="str">
        <f>'計算'!B21</f>
      </c>
      <c r="C41" s="14" t="str">
        <f>'計算'!F21</f>
      </c>
      <c r="D41" s="14" t="str">
        <f>'計算'!G21</f>
      </c>
      <c r="E41" s="14" t="str">
        <f>IF(OR(A41="",'計算'!B10&lt;&gt;"OK"),"",C41-D41)</f>
      </c>
      <c r="F41" s="26" t="str">
        <f>IF(OR(A41="",'計算'!B10&lt;&gt;"OK"),"",IF(C41=0,"算出不可",E41/C41))</f>
      </c>
      <c r="G41" s="2"/>
      <c r="H41" s="2"/>
      <c r="I41" s="2"/>
      <c r="J41" s="2"/>
      <c r="K41" s="2"/>
    </row>
    <row r="42" ht="24" customHeight="1">
      <c r="A42" s="2" t="str">
        <f>'計算'!A22</f>
      </c>
      <c r="B42" s="2" t="str">
        <f>'計算'!B22</f>
      </c>
      <c r="C42" s="14" t="str">
        <f>'計算'!F22</f>
      </c>
      <c r="D42" s="14" t="str">
        <f>'計算'!G22</f>
      </c>
      <c r="E42" s="14" t="str">
        <f>IF(OR(A42="",'計算'!B10&lt;&gt;"OK"),"",C42-D42)</f>
      </c>
      <c r="F42" s="26" t="str">
        <f>IF(OR(A42="",'計算'!B10&lt;&gt;"OK"),"",IF(C42=0,"算出不可",E42/C42))</f>
      </c>
      <c r="G42" s="2"/>
      <c r="H42" s="2"/>
      <c r="I42" s="2"/>
      <c r="J42" s="2"/>
      <c r="K42" s="2"/>
    </row>
    <row r="43" ht="24" customHeight="1">
      <c r="A43" s="2" t="str">
        <f>'計算'!A23</f>
      </c>
      <c r="B43" s="2" t="str">
        <f>'計算'!B23</f>
      </c>
      <c r="C43" s="14" t="str">
        <f>'計算'!F23</f>
      </c>
      <c r="D43" s="14" t="str">
        <f>'計算'!G23</f>
      </c>
      <c r="E43" s="14" t="str">
        <f>IF(OR(A43="",'計算'!B10&lt;&gt;"OK"),"",C43-D43)</f>
      </c>
      <c r="F43" s="26" t="str">
        <f>IF(OR(A43="",'計算'!B10&lt;&gt;"OK"),"",IF(C43=0,"算出不可",E43/C43))</f>
      </c>
      <c r="G43" s="2"/>
      <c r="H43" s="2"/>
      <c r="I43" s="2"/>
      <c r="J43" s="2"/>
      <c r="K43" s="2"/>
    </row>
    <row r="44" ht="24" customHeight="1">
      <c r="A44" s="2" t="str">
        <f>'計算'!A24</f>
      </c>
      <c r="B44" s="2" t="str">
        <f>'計算'!B24</f>
      </c>
      <c r="C44" s="14" t="str">
        <f>'計算'!F24</f>
      </c>
      <c r="D44" s="14" t="str">
        <f>'計算'!G24</f>
      </c>
      <c r="E44" s="14" t="str">
        <f>IF(OR(A44="",'計算'!B10&lt;&gt;"OK"),"",C44-D44)</f>
      </c>
      <c r="F44" s="26" t="str">
        <f>IF(OR(A44="",'計算'!B10&lt;&gt;"OK"),"",IF(C44=0,"算出不可",E44/C44))</f>
      </c>
      <c r="G44" s="2"/>
      <c r="H44" s="2"/>
      <c r="I44" s="2"/>
      <c r="J44" s="2"/>
      <c r="K44" s="2"/>
    </row>
    <row r="45" ht="24" customHeight="1">
      <c r="A45" s="2" t="n">
        <f>'計算'!A25</f>
        <v>0</v>
      </c>
      <c r="B45" s="2" t="n">
        <f>'計算'!B25</f>
        <v>0</v>
      </c>
      <c r="C45" s="14" t="n">
        <f>'計算'!F25</f>
        <v>0</v>
      </c>
      <c r="D45" s="14" t="n">
        <f>'計算'!G25</f>
        <v>0</v>
      </c>
      <c r="E45" s="14" t="str">
        <f>IF(OR(A45="",'計算'!B10&lt;&gt;"OK"),"",C45-D45)</f>
      </c>
      <c r="F45" s="26" t="str">
        <f>IF(OR(A45="",'計算'!B10&lt;&gt;"OK"),"",IF(C45=0,"算出不可",E45/C45))</f>
      </c>
      <c r="G45" s="2"/>
      <c r="H45" s="2"/>
      <c r="I45" s="2"/>
      <c r="J45" s="2"/>
      <c r="K45" s="2"/>
    </row>
    <row r="46" ht="24" customHeight="1">
      <c r="A46" s="2"/>
      <c r="B46" s="2"/>
      <c r="C46" s="14"/>
      <c r="D46" s="14"/>
      <c r="E46" s="14"/>
      <c r="F46" s="2"/>
      <c r="G46" s="2"/>
      <c r="H46" s="2"/>
      <c r="I46" s="2"/>
      <c r="J46" s="2"/>
      <c r="K46" s="2"/>
    </row>
    <row r="47" ht="24" customHeight="1">
      <c r="A47" s="2" t="str">
        <v>案件共通費</v>
      </c>
      <c r="B47" s="2"/>
      <c r="C47" s="14"/>
      <c r="D47" s="14" t="n">
        <f>'計算'!B41</f>
        <v>8000</v>
      </c>
      <c r="E47" s="14"/>
      <c r="F47" s="2"/>
      <c r="G47" s="2"/>
      <c r="H47" s="2"/>
      <c r="I47" s="2"/>
      <c r="J47" s="2"/>
      <c r="K47" s="2"/>
    </row>
    <row r="48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32" customHeight="1">
      <c r="A49" s="10" t="str">
        <v>商品別の差額は案件共通費の控除前です。案件全体の予定利益は共通費を差し引いた結果です。</v>
      </c>
      <c r="B49" s="10"/>
      <c r="C49" s="10"/>
      <c r="D49" s="10"/>
      <c r="E49" s="10"/>
      <c r="F49" s="10"/>
      <c r="G49" s="10"/>
      <c r="H49" s="10"/>
      <c r="I49" s="10"/>
      <c r="J49" s="10"/>
      <c r="K49" s="2"/>
    </row>
    <row r="50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</sheetData>
  <mergeCells>
    <mergeCell ref="A2:J2"/>
    <mergeCell ref="A13:J13"/>
    <mergeCell ref="A15:J15"/>
    <mergeCell ref="D5:F5"/>
    <mergeCell ref="D6:F7"/>
    <mergeCell ref="G5:J5"/>
    <mergeCell ref="G6:J7"/>
    <mergeCell ref="D9:F9"/>
    <mergeCell ref="D10:F11"/>
    <mergeCell ref="G9:J9"/>
    <mergeCell ref="G10:J11"/>
    <mergeCell ref="D12:J12"/>
    <mergeCell ref="H17:J17"/>
    <mergeCell ref="A49:J49"/>
  </mergeCells>
  <conditionalFormatting sqref="D10:F11">
    <cfRule type="cellIs" dxfId="3" priority="1" operator="lessThan">
      <formula>0</formula>
    </cfRule>
  </conditionalFormatting>
  <dataValidations count="4">
    <dataValidation type="list" sqref="B5" showErrorMessage="1" errorStyle="stop" errorTitle="入力値を確認" error="指定された範囲・選択肢で入力してください。">
      <formula1>IndustryList</formula1>
    </dataValidation>
    <dataValidation type="decimal" operator="between" sqref="B7" showErrorMessage="1" errorStyle="stop" errorTitle="入力値を確認" error="指定された範囲・選択肢で入力してください。">
      <formula1>0</formula1>
      <formula2>0.9999</formula2>
    </dataValidation>
    <dataValidation type="whole" operator="between" sqref="B9" showErrorMessage="1" errorStyle="stop" errorTitle="入力値を確認" error="指定された範囲・選択肢で入力してください。">
      <formula1>0</formula1>
      <formula2>100</formula2>
    </dataValidation>
    <dataValidation type="decimal" operator="between" sqref="B11" showErrorMessage="1" errorStyle="stop" errorTitle="入力値を確認" error="指定された範囲・選択肢で入力してください。">
      <formula1>-1</formula1>
      <formula2>10</formula2>
    </dataValidation>
  </dataValidations>
  <pageMargins left="0.7" right="0.7" top="0.75" bottom="0.75" header="0.3" footer="0.3"/>
  <drawing r:id="R5ebc0934a0444399"/>
  <legacyDrawing r:id="R2a96a61087cc4aa3"/>
</worksheet>
</file>

<file path=xl/worksheets/sheet2.xml><?xml version="1.0" encoding="utf-8"?>
<worksheet xmlns="http://schemas.openxmlformats.org/spreadsheetml/2006/main">
  <sheetPr>
    <tabColor rgb="FF164D45"/>
    <pageSetUpPr fitToPage="1"/>
  </sheetPr>
  <sheetViews>
    <sheetView showGridLines="0" workbookViewId="0" zoomScale="80" zoomScaleNormal="100"/>
  </sheetViews>
  <sheetFormatPr defaultRowHeight="15"/>
  <cols>
    <col min="1" max="1" width="10" hidden="0" customWidth="1"/>
    <col min="2" max="2" width="24" hidden="0" customWidth="1"/>
    <col min="3" max="3" width="24" hidden="0" customWidth="1"/>
    <col min="4" max="4" width="10" hidden="0" customWidth="1"/>
    <col min="5" max="5" width="10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9" hidden="0" customWidth="1"/>
    <col min="11" max="11" width="15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7" t="str">
        <v>見積書</v>
      </c>
      <c r="B2" s="37"/>
      <c r="C2" s="37"/>
      <c r="D2" s="37"/>
      <c r="E2" s="37"/>
      <c r="F2" s="37"/>
      <c r="G2" s="37"/>
      <c r="H2" s="37"/>
      <c r="I2" s="37"/>
      <c r="J2" s="37"/>
      <c r="K2" s="2"/>
    </row>
    <row r="3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4" customHeight="1">
      <c r="A4" s="2" t="str">
        <f>'見積入力'!B6&amp;" 御中"</f>
        <v>サンプルのお客様 御中</v>
      </c>
      <c r="B4" s="2"/>
      <c r="C4" s="2"/>
      <c r="D4" s="2"/>
      <c r="E4" s="2"/>
      <c r="F4" s="2"/>
      <c r="G4" s="2" t="str">
        <f>"見積番号："&amp;'見積入力'!B7</f>
        <v>見積番号：DEMO-001</v>
      </c>
      <c r="H4" s="2"/>
      <c r="I4" s="2"/>
      <c r="J4" s="2"/>
      <c r="K4" s="2"/>
    </row>
    <row r="5" ht="24" customHeight="1">
      <c r="A5" s="2"/>
      <c r="B5" s="2"/>
      <c r="C5" s="2"/>
      <c r="D5" s="2"/>
      <c r="E5" s="2"/>
      <c r="F5" s="2"/>
      <c r="G5" s="2" t="str">
        <f>'設定'!B11</f>
        <v>サンプル事業者</v>
      </c>
      <c r="H5" s="2"/>
      <c r="I5" s="2"/>
      <c r="J5" s="2"/>
      <c r="K5" s="2"/>
    </row>
    <row r="6" ht="24" customHeight="1">
      <c r="A6" s="2" t="str">
        <f>"件名："&amp;'見積入力'!B5</f>
        <v>件名：家具製作・納品</v>
      </c>
      <c r="B6" s="2"/>
      <c r="C6" s="2"/>
      <c r="D6" s="2"/>
      <c r="E6" s="2"/>
      <c r="F6" s="2"/>
      <c r="G6" s="2" t="str">
        <f>'設定'!B12</f>
        <v>住所を入力してください</v>
      </c>
      <c r="H6" s="2"/>
      <c r="I6" s="2"/>
      <c r="J6" s="2"/>
      <c r="K6" s="2"/>
    </row>
    <row r="7" ht="24" customHeight="1">
      <c r="A7" s="2"/>
      <c r="B7" s="2"/>
      <c r="C7" s="2"/>
      <c r="D7" s="2"/>
      <c r="E7" s="2"/>
      <c r="F7" s="2"/>
      <c r="G7" s="2" t="str">
        <f>'設定'!B13</f>
        <v>連絡先を入力してください</v>
      </c>
      <c r="H7" s="2"/>
      <c r="I7" s="2"/>
      <c r="J7" s="2"/>
      <c r="K7" s="2"/>
    </row>
    <row r="8" ht="24" customHeight="1">
      <c r="A8" s="32" t="str">
        <v>税込見積金額</v>
      </c>
      <c r="B8" s="32"/>
      <c r="C8" s="29" t="n">
        <f>IF('計算'!B10="OK",'計算'!B39,"入力を確認")</f>
        <v>176000</v>
      </c>
      <c r="D8" s="29"/>
      <c r="E8" s="29"/>
      <c r="F8" s="29"/>
      <c r="G8" s="2"/>
      <c r="H8" s="2"/>
      <c r="I8" s="2"/>
      <c r="J8" s="2"/>
      <c r="K8" s="2"/>
    </row>
    <row r="9" ht="24" customHeight="1">
      <c r="A9" s="32"/>
      <c r="B9" s="32"/>
      <c r="C9" s="29"/>
      <c r="D9" s="29"/>
      <c r="E9" s="29"/>
      <c r="F9" s="29"/>
      <c r="G9" s="2" t="str">
        <f>"有効期限："&amp;'見積入力'!B10</f>
        <v>有効期限：発行日から30日</v>
      </c>
      <c r="H9" s="2"/>
      <c r="I9" s="2"/>
      <c r="J9" s="2"/>
      <c r="K9" s="2"/>
    </row>
    <row r="10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24" customHeight="1">
      <c r="A11" s="2" t="str">
        <v>発行日</v>
      </c>
      <c r="B11" s="31" t="n">
        <f>'見積入力'!B9</f>
        <v>46315</v>
      </c>
      <c r="C11" s="2"/>
      <c r="D11" s="2"/>
      <c r="E11" s="2"/>
      <c r="F11" s="2"/>
      <c r="G11" s="2"/>
      <c r="H11" s="2"/>
      <c r="I11" s="2"/>
      <c r="J11" s="2"/>
      <c r="K11" s="2"/>
    </row>
    <row r="12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35" customHeight="1">
      <c r="A13" s="6" t="str">
        <v>No.</v>
      </c>
      <c r="B13" s="6" t="str">
        <v>品名</v>
      </c>
      <c r="C13" s="6" t="str">
        <v>規格・仕様</v>
      </c>
      <c r="D13" s="6" t="str">
        <v>数量</v>
      </c>
      <c r="E13" s="6" t="str">
        <v>単位</v>
      </c>
      <c r="F13" s="6" t="str">
        <v>税抜単価</v>
      </c>
      <c r="G13" s="6" t="str">
        <v>値引前金額</v>
      </c>
      <c r="H13" s="6" t="str">
        <v>値引額</v>
      </c>
      <c r="I13" s="6" t="str">
        <v>税抜金額</v>
      </c>
      <c r="J13" s="6" t="str">
        <v>税率</v>
      </c>
      <c r="K13" s="2"/>
    </row>
    <row r="14" ht="29" customHeight="1">
      <c r="A14" s="2" t="n">
        <f>IF('計算'!A16="","",1)</f>
        <v>1</v>
      </c>
      <c r="B14" s="32" t="str">
        <f>IF(A14="","",'見積入力'!B16)</f>
        <v>テーブル</v>
      </c>
      <c r="C14" s="32" t="str">
        <f>IF(A14="","",'見積入力'!C16)</f>
        <v>標準仕様</v>
      </c>
      <c r="D14" s="2" t="n">
        <f>IF(A14="","",'見積入力'!D16)</f>
        <v>2</v>
      </c>
      <c r="E14" s="2" t="str">
        <f>IF(A14="","",'見積入力'!E16)</f>
        <v>台</v>
      </c>
      <c r="F14" s="14" t="n">
        <f>IF(A14="","",'見積入力'!F16)</f>
        <v>50000</v>
      </c>
      <c r="G14" s="14" t="n">
        <f>IF(A14="","",'見積入力'!H16)</f>
        <v>100000</v>
      </c>
      <c r="H14" s="14" t="n">
        <f>IF(OR(A14="",'計算'!B10&lt;&gt;"OK"),"",G14-I14)</f>
        <v>0</v>
      </c>
      <c r="I14" s="14" t="n">
        <f>IF(A14="","",'計算'!H16)</f>
        <v>100000</v>
      </c>
      <c r="J14" s="33" t="n">
        <f>IF(A14="","",'見積入力'!G16)</f>
        <v>0.1</v>
      </c>
      <c r="K14" s="2"/>
    </row>
    <row r="15" ht="29" customHeight="1">
      <c r="A15" s="2" t="n">
        <f>IF('計算'!A17="","",2)</f>
        <v>2</v>
      </c>
      <c r="B15" s="32" t="str">
        <f>IF(A15="","",'見積入力'!B17)</f>
        <v>椅子</v>
      </c>
      <c r="C15" s="32" t="str">
        <f>IF(A15="","",'見積入力'!C17)</f>
        <v>標準仕様</v>
      </c>
      <c r="D15" s="2" t="n">
        <f>IF(A15="","",'見積入力'!D17)</f>
        <v>4</v>
      </c>
      <c r="E15" s="2" t="str">
        <f>IF(A15="","",'見積入力'!E17)</f>
        <v>脚</v>
      </c>
      <c r="F15" s="14" t="n">
        <f>IF(A15="","",'見積入力'!F17)</f>
        <v>15000</v>
      </c>
      <c r="G15" s="14" t="n">
        <f>IF(A15="","",'見積入力'!H17)</f>
        <v>60000</v>
      </c>
      <c r="H15" s="14" t="n">
        <f>IF(OR(A15="",'計算'!B10&lt;&gt;"OK"),"",G15-I15)</f>
        <v>0</v>
      </c>
      <c r="I15" s="14" t="n">
        <f>IF(A15="","",'計算'!H17)</f>
        <v>60000</v>
      </c>
      <c r="J15" s="33" t="n">
        <f>IF(A15="","",'見積入力'!G17)</f>
        <v>0.1</v>
      </c>
      <c r="K15" s="2"/>
    </row>
    <row r="16" ht="29" customHeight="1">
      <c r="A16" s="2" t="str">
        <f>IF('計算'!A18="","",3)</f>
      </c>
      <c r="B16" s="32" t="str">
        <f>IF(A16="","",'見積入力'!B18)</f>
      </c>
      <c r="C16" s="32" t="str">
        <f>IF(A16="","",'見積入力'!C18)</f>
      </c>
      <c r="D16" s="2" t="str">
        <f>IF(A16="","",'見積入力'!D18)</f>
      </c>
      <c r="E16" s="2" t="str">
        <f>IF(A16="","",'見積入力'!E18)</f>
      </c>
      <c r="F16" s="14" t="str">
        <f>IF(A16="","",'見積入力'!F18)</f>
      </c>
      <c r="G16" s="14" t="str">
        <f>IF(A16="","",'見積入力'!H18)</f>
      </c>
      <c r="H16" s="14" t="str">
        <f>IF(OR(A16="",'計算'!B10&lt;&gt;"OK"),"",G16-I16)</f>
      </c>
      <c r="I16" s="14" t="str">
        <f>IF(A16="","",'計算'!H18)</f>
      </c>
      <c r="J16" s="33" t="str">
        <f>IF(A16="","",'見積入力'!G18)</f>
      </c>
      <c r="K16" s="2"/>
    </row>
    <row r="17" ht="29" customHeight="1">
      <c r="A17" s="2" t="str">
        <f>IF('計算'!A19="","",4)</f>
      </c>
      <c r="B17" s="32" t="str">
        <f>IF(A17="","",'見積入力'!B19)</f>
      </c>
      <c r="C17" s="32" t="str">
        <f>IF(A17="","",'見積入力'!C19)</f>
      </c>
      <c r="D17" s="2" t="str">
        <f>IF(A17="","",'見積入力'!D19)</f>
      </c>
      <c r="E17" s="2" t="str">
        <f>IF(A17="","",'見積入力'!E19)</f>
      </c>
      <c r="F17" s="14" t="str">
        <f>IF(A17="","",'見積入力'!F19)</f>
      </c>
      <c r="G17" s="14" t="str">
        <f>IF(A17="","",'見積入力'!H19)</f>
      </c>
      <c r="H17" s="14" t="str">
        <f>IF(OR(A17="",'計算'!B10&lt;&gt;"OK"),"",G17-I17)</f>
      </c>
      <c r="I17" s="14" t="str">
        <f>IF(A17="","",'計算'!H19)</f>
      </c>
      <c r="J17" s="33" t="str">
        <f>IF(A17="","",'見積入力'!G19)</f>
      </c>
      <c r="K17" s="2"/>
    </row>
    <row r="18" ht="29" customHeight="1">
      <c r="A18" s="2" t="str">
        <f>IF('計算'!A20="","",5)</f>
      </c>
      <c r="B18" s="32" t="str">
        <f>IF(A18="","",'見積入力'!B20)</f>
      </c>
      <c r="C18" s="32" t="str">
        <f>IF(A18="","",'見積入力'!C20)</f>
      </c>
      <c r="D18" s="2" t="str">
        <f>IF(A18="","",'見積入力'!D20)</f>
      </c>
      <c r="E18" s="2" t="str">
        <f>IF(A18="","",'見積入力'!E20)</f>
      </c>
      <c r="F18" s="14" t="str">
        <f>IF(A18="","",'見積入力'!F20)</f>
      </c>
      <c r="G18" s="14" t="str">
        <f>IF(A18="","",'見積入力'!H20)</f>
      </c>
      <c r="H18" s="14" t="str">
        <f>IF(OR(A18="",'計算'!B10&lt;&gt;"OK"),"",G18-I18)</f>
      </c>
      <c r="I18" s="14" t="str">
        <f>IF(A18="","",'計算'!H20)</f>
      </c>
      <c r="J18" s="33" t="str">
        <f>IF(A18="","",'見積入力'!G20)</f>
      </c>
      <c r="K18" s="2"/>
    </row>
    <row r="19" ht="29" customHeight="1">
      <c r="A19" s="2" t="str">
        <f>IF('計算'!A21="","",6)</f>
      </c>
      <c r="B19" s="32" t="str">
        <f>IF(A19="","",'見積入力'!B21)</f>
      </c>
      <c r="C19" s="32" t="str">
        <f>IF(A19="","",'見積入力'!C21)</f>
      </c>
      <c r="D19" s="2" t="str">
        <f>IF(A19="","",'見積入力'!D21)</f>
      </c>
      <c r="E19" s="2" t="str">
        <f>IF(A19="","",'見積入力'!E21)</f>
      </c>
      <c r="F19" s="14" t="str">
        <f>IF(A19="","",'見積入力'!F21)</f>
      </c>
      <c r="G19" s="14" t="str">
        <f>IF(A19="","",'見積入力'!H21)</f>
      </c>
      <c r="H19" s="14" t="str">
        <f>IF(OR(A19="",'計算'!B10&lt;&gt;"OK"),"",G19-I19)</f>
      </c>
      <c r="I19" s="14" t="str">
        <f>IF(A19="","",'計算'!H21)</f>
      </c>
      <c r="J19" s="33" t="str">
        <f>IF(A19="","",'見積入力'!G21)</f>
      </c>
      <c r="K19" s="2"/>
    </row>
    <row r="20" ht="29" customHeight="1">
      <c r="A20" s="2" t="str">
        <f>IF('計算'!A22="","",7)</f>
      </c>
      <c r="B20" s="32" t="str">
        <f>IF(A20="","",'見積入力'!B22)</f>
      </c>
      <c r="C20" s="32" t="str">
        <f>IF(A20="","",'見積入力'!C22)</f>
      </c>
      <c r="D20" s="2" t="str">
        <f>IF(A20="","",'見積入力'!D22)</f>
      </c>
      <c r="E20" s="2" t="str">
        <f>IF(A20="","",'見積入力'!E22)</f>
      </c>
      <c r="F20" s="14" t="str">
        <f>IF(A20="","",'見積入力'!F22)</f>
      </c>
      <c r="G20" s="14" t="str">
        <f>IF(A20="","",'見積入力'!H22)</f>
      </c>
      <c r="H20" s="14" t="str">
        <f>IF(OR(A20="",'計算'!B10&lt;&gt;"OK"),"",G20-I20)</f>
      </c>
      <c r="I20" s="14" t="str">
        <f>IF(A20="","",'計算'!H22)</f>
      </c>
      <c r="J20" s="33" t="str">
        <f>IF(A20="","",'見積入力'!G22)</f>
      </c>
      <c r="K20" s="2"/>
    </row>
    <row r="21" ht="29" customHeight="1">
      <c r="A21" s="2" t="str">
        <f>IF('計算'!A23="","",8)</f>
      </c>
      <c r="B21" s="32" t="str">
        <f>IF(A21="","",'見積入力'!B23)</f>
      </c>
      <c r="C21" s="32" t="str">
        <f>IF(A21="","",'見積入力'!C23)</f>
      </c>
      <c r="D21" s="2" t="str">
        <f>IF(A21="","",'見積入力'!D23)</f>
      </c>
      <c r="E21" s="2" t="str">
        <f>IF(A21="","",'見積入力'!E23)</f>
      </c>
      <c r="F21" s="14" t="str">
        <f>IF(A21="","",'見積入力'!F23)</f>
      </c>
      <c r="G21" s="14" t="str">
        <f>IF(A21="","",'見積入力'!H23)</f>
      </c>
      <c r="H21" s="14" t="str">
        <f>IF(OR(A21="",'計算'!B10&lt;&gt;"OK"),"",G21-I21)</f>
      </c>
      <c r="I21" s="14" t="str">
        <f>IF(A21="","",'計算'!H23)</f>
      </c>
      <c r="J21" s="33" t="str">
        <f>IF(A21="","",'見積入力'!G23)</f>
      </c>
      <c r="K21" s="2"/>
    </row>
    <row r="22" ht="29" customHeight="1">
      <c r="A22" s="2" t="str">
        <f>IF('計算'!A24="","",9)</f>
      </c>
      <c r="B22" s="32" t="str">
        <f>IF(A22="","",'見積入力'!B24)</f>
      </c>
      <c r="C22" s="32" t="str">
        <f>IF(A22="","",'見積入力'!C24)</f>
      </c>
      <c r="D22" s="2" t="str">
        <f>IF(A22="","",'見積入力'!D24)</f>
      </c>
      <c r="E22" s="2" t="str">
        <f>IF(A22="","",'見積入力'!E24)</f>
      </c>
      <c r="F22" s="14" t="str">
        <f>IF(A22="","",'見積入力'!F24)</f>
      </c>
      <c r="G22" s="14" t="str">
        <f>IF(A22="","",'見積入力'!H24)</f>
      </c>
      <c r="H22" s="14" t="str">
        <f>IF(OR(A22="",'計算'!B10&lt;&gt;"OK"),"",G22-I22)</f>
      </c>
      <c r="I22" s="14" t="str">
        <f>IF(A22="","",'計算'!H24)</f>
      </c>
      <c r="J22" s="33" t="str">
        <f>IF(A22="","",'見積入力'!G24)</f>
      </c>
      <c r="K22" s="2"/>
    </row>
    <row r="23" ht="29" customHeight="1">
      <c r="A23" s="2" t="str">
        <f>IF('計算'!A25="","",10)</f>
      </c>
      <c r="B23" s="32" t="str">
        <f>IF(A23="","",'見積入力'!B25)</f>
      </c>
      <c r="C23" s="32" t="str">
        <f>IF(A23="","",'見積入力'!C25)</f>
      </c>
      <c r="D23" s="2" t="str">
        <f>IF(A23="","",'見積入力'!D25)</f>
      </c>
      <c r="E23" s="2" t="str">
        <f>IF(A23="","",'見積入力'!E25)</f>
      </c>
      <c r="F23" s="14" t="str">
        <f>IF(A23="","",'見積入力'!F25)</f>
      </c>
      <c r="G23" s="14" t="str">
        <f>IF(A23="","",'見積入力'!H25)</f>
      </c>
      <c r="H23" s="14" t="str">
        <f>IF(OR(A23="",'計算'!B10&lt;&gt;"OK"),"",G23-I23)</f>
      </c>
      <c r="I23" s="14" t="str">
        <f>IF(A23="","",'計算'!H25)</f>
      </c>
      <c r="J23" s="33" t="str">
        <f>IF(A23="","",'見積入力'!G25)</f>
      </c>
      <c r="K23" s="2"/>
    </row>
    <row r="24" ht="24" customHeight="1">
      <c r="A24" s="2"/>
      <c r="B24" s="2"/>
      <c r="C24" s="2"/>
      <c r="D24" s="2"/>
      <c r="E24" s="2"/>
      <c r="F24" s="14"/>
      <c r="G24" s="14"/>
      <c r="H24" s="14"/>
      <c r="I24" s="14"/>
      <c r="J24" s="2"/>
      <c r="K24" s="2"/>
    </row>
    <row r="25" ht="24" customHeight="1">
      <c r="A25" s="32" t="str">
        <f>"納期・支払条件："&amp;'見積入力'!B11</f>
        <v>納期・支払条件：納期・支払条件を入力</v>
      </c>
      <c r="B25" s="32"/>
      <c r="C25" s="32"/>
      <c r="D25" s="32"/>
      <c r="E25" s="32"/>
      <c r="F25" s="14"/>
      <c r="G25" s="14" t="str">
        <v>税抜合計</v>
      </c>
      <c r="H25" s="14"/>
      <c r="I25" s="14" t="n">
        <f>IF('計算'!B10="OK",'計算'!B36,"")</f>
        <v>160000</v>
      </c>
      <c r="J25" s="2"/>
      <c r="K25" s="2"/>
    </row>
    <row r="26" ht="24" customHeight="1">
      <c r="A26" s="32"/>
      <c r="B26" s="32"/>
      <c r="C26" s="32"/>
      <c r="D26" s="32"/>
      <c r="E26" s="32"/>
      <c r="F26" s="14"/>
      <c r="G26" s="14" t="str">
        <v>10%対象額</v>
      </c>
      <c r="H26" s="14"/>
      <c r="I26" s="14" t="n">
        <f>IF('計算'!B10="OK",SUMIFS('計算'!H16:H25,'計算'!I16:I25,0.1),"")</f>
        <v>160000</v>
      </c>
      <c r="J26" s="2"/>
      <c r="K26" s="2"/>
    </row>
    <row r="27" ht="24" customHeight="1">
      <c r="A27" s="32"/>
      <c r="B27" s="32"/>
      <c r="C27" s="32"/>
      <c r="D27" s="32"/>
      <c r="E27" s="32"/>
      <c r="F27" s="14"/>
      <c r="G27" s="14" t="str">
        <v>10%消費税</v>
      </c>
      <c r="H27" s="14"/>
      <c r="I27" s="14" t="n">
        <f>IF('計算'!B10="OK",'計算'!B37,"")</f>
        <v>16000</v>
      </c>
      <c r="J27" s="2"/>
      <c r="K27" s="2"/>
    </row>
    <row r="28" ht="24" customHeight="1">
      <c r="A28" s="32" t="str">
        <f>"備考："&amp;'見積入力'!B12</f>
        <v>備考：試作品の架空データです</v>
      </c>
      <c r="B28" s="32"/>
      <c r="C28" s="32"/>
      <c r="D28" s="32"/>
      <c r="E28" s="32"/>
      <c r="F28" s="14"/>
      <c r="G28" s="14" t="str">
        <v>8%対象額</v>
      </c>
      <c r="H28" s="14"/>
      <c r="I28" s="14" t="n">
        <f>IF('計算'!B10="OK",SUMIFS('計算'!H16:H25,'計算'!I16:I25,0.08),"")</f>
        <v>0</v>
      </c>
      <c r="J28" s="2"/>
      <c r="K28" s="2"/>
    </row>
    <row r="29" ht="24" customHeight="1">
      <c r="A29" s="32"/>
      <c r="B29" s="32"/>
      <c r="C29" s="32"/>
      <c r="D29" s="32"/>
      <c r="E29" s="32"/>
      <c r="F29" s="14"/>
      <c r="G29" s="14" t="str">
        <v>8%消費税</v>
      </c>
      <c r="H29" s="14"/>
      <c r="I29" s="14" t="n">
        <f>IF('計算'!B10="OK",'計算'!B38,"")</f>
        <v>0</v>
      </c>
      <c r="J29" s="2"/>
      <c r="K29" s="2"/>
    </row>
    <row r="30" ht="24" customHeight="1">
      <c r="A30" s="32"/>
      <c r="B30" s="32"/>
      <c r="C30" s="32"/>
      <c r="D30" s="32"/>
      <c r="E30" s="32"/>
      <c r="F30" s="14"/>
      <c r="G30" s="14" t="str">
        <v>税込合計</v>
      </c>
      <c r="H30" s="14"/>
      <c r="I30" s="14" t="n">
        <f>IF('計算'!B10="OK",'計算'!B39,"")</f>
        <v>176000</v>
      </c>
      <c r="J30" s="2"/>
      <c r="K30" s="2"/>
    </row>
    <row r="31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24" customHeight="1">
      <c r="A32" s="2" t="str">
        <f>IF('計算'!B10&lt;&gt;"OK","発行不可："&amp;'計算'!B10,IF(OR('見積入力'!B5="",'見積入力'!B6="",'見積入力'!B7="",'設定'!B11=""),"宛先・件名・番号・自社名を確認",""))</f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32" customHeight="1">
      <c r="A34" s="10" t="str">
        <v>8%対象・10%対象の税額はそれぞれ円未満切捨て。0%入力分は税額0円として集計。</v>
      </c>
      <c r="B34" s="10"/>
      <c r="C34" s="10"/>
      <c r="D34" s="10"/>
      <c r="E34" s="10"/>
      <c r="F34" s="10"/>
      <c r="G34" s="10"/>
      <c r="H34" s="10"/>
      <c r="I34" s="10"/>
      <c r="J34" s="10"/>
      <c r="K34" s="2"/>
    </row>
    <row r="35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</sheetData>
  <mergeCells>
    <mergeCell ref="A2:J2"/>
    <mergeCell ref="A4:F4"/>
    <mergeCell ref="G4:J4"/>
    <mergeCell ref="G5:J5"/>
    <mergeCell ref="G6:J6"/>
    <mergeCell ref="G7:J7"/>
    <mergeCell ref="A6:F6"/>
    <mergeCell ref="C8:F9"/>
    <mergeCell ref="G9:J9"/>
    <mergeCell ref="I25:J25"/>
    <mergeCell ref="I26:J26"/>
    <mergeCell ref="I27:J27"/>
    <mergeCell ref="I28:J28"/>
    <mergeCell ref="I29:J29"/>
    <mergeCell ref="I30:J30"/>
    <mergeCell ref="A25:E26"/>
    <mergeCell ref="A28:E30"/>
    <mergeCell ref="A32:J32"/>
    <mergeCell ref="A34:J34"/>
    <mergeCell ref="G25:H25"/>
    <mergeCell ref="G26:H26"/>
    <mergeCell ref="G27:H27"/>
    <mergeCell ref="G28:H28"/>
    <mergeCell ref="G29:H29"/>
    <mergeCell ref="G30:H30"/>
    <mergeCell ref="A8:B9"/>
  </mergeCells>
  <pageMargins left="0.25" right="0.25" top="0.35" bottom="0.35" header="0.15" footer="0.15"/>
  <pageSetup paperSize="9" orientation="landscape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7988A"/>
  </sheetPr>
  <sheetViews>
    <sheetView showGridLines="0" workbookViewId="0" zoomScale="80" zoomScaleNormal="100"/>
  </sheetViews>
  <sheetFormatPr defaultRowHeight="15"/>
  <cols>
    <col min="1" max="1" width="22" hidden="0" customWidth="1"/>
    <col min="2" max="2" width="21" hidden="0" customWidth="1"/>
    <col min="3" max="3" width="24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5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7" t="str">
        <v>見積入力</v>
      </c>
      <c r="B2" s="37"/>
      <c r="C2" s="37"/>
      <c r="D2" s="37"/>
      <c r="E2" s="37"/>
      <c r="F2" s="37"/>
      <c r="G2" s="37"/>
      <c r="H2" s="37"/>
      <c r="I2" s="37"/>
      <c r="J2" s="37"/>
      <c r="K2" s="2"/>
    </row>
    <row r="3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24" customHeight="1">
      <c r="A5" s="2" t="str">
        <v>件名</v>
      </c>
      <c r="B5" s="51" t="str">
        <v>家具製作・納品</v>
      </c>
      <c r="C5" s="51"/>
      <c r="D5" s="51"/>
      <c r="E5" s="51"/>
      <c r="F5" s="51"/>
      <c r="G5" s="2"/>
      <c r="H5" s="2"/>
      <c r="I5" s="2"/>
      <c r="J5" s="2"/>
      <c r="K5" s="2"/>
    </row>
    <row r="6" ht="24" customHeight="1">
      <c r="A6" s="2" t="str">
        <v>宛先</v>
      </c>
      <c r="B6" s="51" t="str">
        <v>サンプルのお客様</v>
      </c>
      <c r="C6" s="51"/>
      <c r="D6" s="51"/>
      <c r="E6" s="51"/>
      <c r="F6" s="51"/>
      <c r="G6" s="2"/>
      <c r="H6" s="2"/>
      <c r="I6" s="2"/>
      <c r="J6" s="2"/>
      <c r="K6" s="2"/>
    </row>
    <row r="7" ht="24" customHeight="1">
      <c r="A7" s="2" t="str">
        <v>見積番号</v>
      </c>
      <c r="B7" s="51" t="str">
        <v>DEMO-001</v>
      </c>
      <c r="C7" s="51"/>
      <c r="D7" s="51"/>
      <c r="E7" s="51"/>
      <c r="F7" s="51"/>
      <c r="G7" s="2"/>
      <c r="H7" s="2"/>
      <c r="I7" s="2"/>
      <c r="J7" s="2"/>
      <c r="K7" s="2"/>
    </row>
    <row r="8" ht="24" customHeight="1">
      <c r="A8" s="2" t="str">
        <v>確定値引率</v>
      </c>
      <c r="B8" s="52" t="n">
        <v>0</v>
      </c>
      <c r="C8" s="51"/>
      <c r="D8" s="51"/>
      <c r="E8" s="51"/>
      <c r="F8" s="51"/>
      <c r="G8" s="2"/>
      <c r="H8" s="2"/>
      <c r="I8" s="2"/>
      <c r="J8" s="2"/>
      <c r="K8" s="2"/>
    </row>
    <row r="9" ht="24" customHeight="1">
      <c r="A9" s="2" t="str">
        <v>発行日</v>
      </c>
      <c r="B9" s="53" t="d">
        <v>2026-10-20T00:00:00.000Z</v>
      </c>
      <c r="C9" s="51"/>
      <c r="D9" s="51"/>
      <c r="E9" s="51"/>
      <c r="F9" s="51"/>
      <c r="G9" s="2"/>
      <c r="H9" s="2"/>
      <c r="I9" s="2"/>
      <c r="J9" s="2"/>
      <c r="K9" s="2"/>
    </row>
    <row r="10" ht="24" customHeight="1">
      <c r="A10" s="2" t="str">
        <v>有効期限</v>
      </c>
      <c r="B10" s="51" t="str">
        <v>発行日から30日</v>
      </c>
      <c r="C10" s="51"/>
      <c r="D10" s="51"/>
      <c r="E10" s="51"/>
      <c r="F10" s="51"/>
      <c r="G10" s="2"/>
      <c r="H10" s="2"/>
      <c r="I10" s="2"/>
      <c r="J10" s="2"/>
      <c r="K10" s="2"/>
    </row>
    <row r="11" ht="24" customHeight="1">
      <c r="A11" s="2" t="str">
        <v>納期・支払条件</v>
      </c>
      <c r="B11" s="51" t="str">
        <v>納期・支払条件を入力</v>
      </c>
      <c r="C11" s="51"/>
      <c r="D11" s="51"/>
      <c r="E11" s="51"/>
      <c r="F11" s="51"/>
      <c r="G11" s="2"/>
      <c r="H11" s="2"/>
      <c r="I11" s="2"/>
      <c r="J11" s="2"/>
      <c r="K11" s="2"/>
    </row>
    <row r="12" ht="42" customHeight="1">
      <c r="A12" s="2" t="str">
        <v>備考</v>
      </c>
      <c r="B12" s="54" t="str">
        <v>試作品の架空データです</v>
      </c>
      <c r="C12" s="54"/>
      <c r="D12" s="8" t="str">
        <f>IF(I28="OK","入力OK",IF(I28="見積明細なし","未入力","要確認"))</f>
        <v>入力OK</v>
      </c>
      <c r="E12" s="51"/>
      <c r="F12" s="51"/>
      <c r="G12" s="2"/>
      <c r="H12" s="2"/>
      <c r="I12" s="2"/>
      <c r="J12" s="2"/>
      <c r="K12" s="2"/>
    </row>
    <row r="13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30" customHeight="1">
      <c r="A15" s="6" t="str">
        <v>明細ID</v>
      </c>
      <c r="B15" s="6" t="str">
        <v>品名</v>
      </c>
      <c r="C15" s="6" t="str">
        <v>規格・仕様</v>
      </c>
      <c r="D15" s="6" t="str">
        <v>数量</v>
      </c>
      <c r="E15" s="6" t="str">
        <v>単位</v>
      </c>
      <c r="F15" s="6" t="str">
        <v>税抜単価</v>
      </c>
      <c r="G15" s="6" t="str">
        <v>税率</v>
      </c>
      <c r="H15" s="6" t="str">
        <v>税抜金額</v>
      </c>
      <c r="I15" s="6" t="str">
        <v>入力確認</v>
      </c>
      <c r="J15" s="2"/>
      <c r="K15" s="2"/>
    </row>
    <row r="16" ht="29" customHeight="1">
      <c r="A16" s="51" t="str">
        <v>M001</v>
      </c>
      <c r="B16" s="51" t="str">
        <v>テーブル</v>
      </c>
      <c r="C16" s="51" t="str">
        <v>標準仕様</v>
      </c>
      <c r="D16" s="51" t="n">
        <v>2</v>
      </c>
      <c r="E16" s="51" t="str">
        <v>台</v>
      </c>
      <c r="F16" s="55" t="n">
        <v>50000</v>
      </c>
      <c r="G16" s="56" t="n">
        <v>0.1</v>
      </c>
      <c r="H16" s="14" t="n">
        <f>IF(I16="OK",ROUND(D16*F16,0),"")</f>
        <v>100000</v>
      </c>
      <c r="I16" s="32" t="str">
        <f>IF(OR(A16="案件共通",ISNUMBER(SEARCH("~*",A16)),ISNUMBER(SEARCH("~?",A16)),ISNUMBER(SEARCH("~~",A16))),"IDに予約語・特殊文字不可",IF(COUNTA(A16:G16)=0,"",IF(OR(A16="",B16="",E16=""),"必須欄不足",IF(COUNTIFS($A$16:$A$25,A16)&lt;&gt;1,"ID重複",IF(OR(NOT(ISNUMBER(D16)),NOT(ISNUMBER(F16)),NOT(ISNUMBER(G16))),"数値を入力",IF(OR(D16&lt;=0,F16&lt;0,AND(G16&lt;&gt;0,G16&lt;&gt;0.08,G16&lt;&gt;0.1)),"数量・価格・税率確認","OK"))))))</f>
        <v>OK</v>
      </c>
      <c r="J16" s="2"/>
      <c r="K16" s="2"/>
    </row>
    <row r="17" ht="29" customHeight="1">
      <c r="A17" s="51" t="str">
        <v>M002</v>
      </c>
      <c r="B17" s="51" t="str">
        <v>椅子</v>
      </c>
      <c r="C17" s="51" t="str">
        <v>標準仕様</v>
      </c>
      <c r="D17" s="51" t="n">
        <v>4</v>
      </c>
      <c r="E17" s="51" t="str">
        <v>脚</v>
      </c>
      <c r="F17" s="55" t="n">
        <v>15000</v>
      </c>
      <c r="G17" s="56" t="n">
        <v>0.1</v>
      </c>
      <c r="H17" s="14" t="n">
        <f>IF(I17="OK",ROUND(D17*F17,0),"")</f>
        <v>60000</v>
      </c>
      <c r="I17" s="32" t="str">
        <f>IF(OR(A17="案件共通",ISNUMBER(SEARCH("~*",A17)),ISNUMBER(SEARCH("~?",A17)),ISNUMBER(SEARCH("~~",A17))),"IDに予約語・特殊文字不可",IF(COUNTA(A17:G17)=0,"",IF(OR(A17="",B17="",E17=""),"必須欄不足",IF(COUNTIFS($A$16:$A$25,A17)&lt;&gt;1,"ID重複",IF(OR(NOT(ISNUMBER(D17)),NOT(ISNUMBER(F17)),NOT(ISNUMBER(G17))),"数値を入力",IF(OR(D17&lt;=0,F17&lt;0,AND(G17&lt;&gt;0,G17&lt;&gt;0.08,G17&lt;&gt;0.1)),"数量・価格・税率確認","OK"))))))</f>
        <v>OK</v>
      </c>
      <c r="J17" s="2"/>
      <c r="K17" s="2"/>
    </row>
    <row r="18" ht="29" customHeight="1">
      <c r="A18" s="51"/>
      <c r="B18" s="51"/>
      <c r="C18" s="51"/>
      <c r="D18" s="51"/>
      <c r="E18" s="51"/>
      <c r="F18" s="55"/>
      <c r="G18" s="56"/>
      <c r="H18" s="14" t="str">
        <f>IF(I18="OK",ROUND(D18*F18,0),"")</f>
      </c>
      <c r="I18" s="32" t="str">
        <f>IF(OR(A18="案件共通",ISNUMBER(SEARCH("~*",A18)),ISNUMBER(SEARCH("~?",A18)),ISNUMBER(SEARCH("~~",A18))),"IDに予約語・特殊文字不可",IF(COUNTA(A18:G18)=0,"",IF(OR(A18="",B18="",E18=""),"必須欄不足",IF(COUNTIFS($A$16:$A$25,A18)&lt;&gt;1,"ID重複",IF(OR(NOT(ISNUMBER(D18)),NOT(ISNUMBER(F18)),NOT(ISNUMBER(G18))),"数値を入力",IF(OR(D18&lt;=0,F18&lt;0,AND(G18&lt;&gt;0,G18&lt;&gt;0.08,G18&lt;&gt;0.1)),"数量・価格・税率確認","OK"))))))</f>
      </c>
      <c r="J18" s="2"/>
      <c r="K18" s="2"/>
    </row>
    <row r="19" ht="29" customHeight="1">
      <c r="A19" s="51"/>
      <c r="B19" s="51"/>
      <c r="C19" s="51"/>
      <c r="D19" s="51"/>
      <c r="E19" s="51"/>
      <c r="F19" s="55"/>
      <c r="G19" s="56"/>
      <c r="H19" s="14" t="str">
        <f>IF(I19="OK",ROUND(D19*F19,0),"")</f>
      </c>
      <c r="I19" s="32" t="str">
        <f>IF(OR(A19="案件共通",ISNUMBER(SEARCH("~*",A19)),ISNUMBER(SEARCH("~?",A19)),ISNUMBER(SEARCH("~~",A19))),"IDに予約語・特殊文字不可",IF(COUNTA(A19:G19)=0,"",IF(OR(A19="",B19="",E19=""),"必須欄不足",IF(COUNTIFS($A$16:$A$25,A19)&lt;&gt;1,"ID重複",IF(OR(NOT(ISNUMBER(D19)),NOT(ISNUMBER(F19)),NOT(ISNUMBER(G19))),"数値を入力",IF(OR(D19&lt;=0,F19&lt;0,AND(G19&lt;&gt;0,G19&lt;&gt;0.08,G19&lt;&gt;0.1)),"数量・価格・税率確認","OK"))))))</f>
      </c>
      <c r="J19" s="2"/>
      <c r="K19" s="2"/>
    </row>
    <row r="20" ht="29" customHeight="1">
      <c r="A20" s="51"/>
      <c r="B20" s="51"/>
      <c r="C20" s="51"/>
      <c r="D20" s="51"/>
      <c r="E20" s="51"/>
      <c r="F20" s="55"/>
      <c r="G20" s="56"/>
      <c r="H20" s="14" t="str">
        <f>IF(I20="OK",ROUND(D20*F20,0),"")</f>
      </c>
      <c r="I20" s="32" t="str">
        <f>IF(OR(A20="案件共通",ISNUMBER(SEARCH("~*",A20)),ISNUMBER(SEARCH("~?",A20)),ISNUMBER(SEARCH("~~",A20))),"IDに予約語・特殊文字不可",IF(COUNTA(A20:G20)=0,"",IF(OR(A20="",B20="",E20=""),"必須欄不足",IF(COUNTIFS($A$16:$A$25,A20)&lt;&gt;1,"ID重複",IF(OR(NOT(ISNUMBER(D20)),NOT(ISNUMBER(F20)),NOT(ISNUMBER(G20))),"数値を入力",IF(OR(D20&lt;=0,F20&lt;0,AND(G20&lt;&gt;0,G20&lt;&gt;0.08,G20&lt;&gt;0.1)),"数量・価格・税率確認","OK"))))))</f>
      </c>
      <c r="J20" s="2"/>
      <c r="K20" s="2"/>
    </row>
    <row r="21" ht="29" customHeight="1">
      <c r="A21" s="51"/>
      <c r="B21" s="51"/>
      <c r="C21" s="51"/>
      <c r="D21" s="51"/>
      <c r="E21" s="51"/>
      <c r="F21" s="55"/>
      <c r="G21" s="56"/>
      <c r="H21" s="14" t="str">
        <f>IF(I21="OK",ROUND(D21*F21,0),"")</f>
      </c>
      <c r="I21" s="32" t="str">
        <f>IF(OR(A21="案件共通",ISNUMBER(SEARCH("~*",A21)),ISNUMBER(SEARCH("~?",A21)),ISNUMBER(SEARCH("~~",A21))),"IDに予約語・特殊文字不可",IF(COUNTA(A21:G21)=0,"",IF(OR(A21="",B21="",E21=""),"必須欄不足",IF(COUNTIFS($A$16:$A$25,A21)&lt;&gt;1,"ID重複",IF(OR(NOT(ISNUMBER(D21)),NOT(ISNUMBER(F21)),NOT(ISNUMBER(G21))),"数値を入力",IF(OR(D21&lt;=0,F21&lt;0,AND(G21&lt;&gt;0,G21&lt;&gt;0.08,G21&lt;&gt;0.1)),"数量・価格・税率確認","OK"))))))</f>
      </c>
      <c r="J21" s="2"/>
      <c r="K21" s="2"/>
    </row>
    <row r="22" ht="29" customHeight="1">
      <c r="A22" s="51"/>
      <c r="B22" s="51"/>
      <c r="C22" s="51"/>
      <c r="D22" s="51"/>
      <c r="E22" s="51"/>
      <c r="F22" s="55"/>
      <c r="G22" s="56"/>
      <c r="H22" s="14" t="str">
        <f>IF(I22="OK",ROUND(D22*F22,0),"")</f>
      </c>
      <c r="I22" s="32" t="str">
        <f>IF(OR(A22="案件共通",ISNUMBER(SEARCH("~*",A22)),ISNUMBER(SEARCH("~?",A22)),ISNUMBER(SEARCH("~~",A22))),"IDに予約語・特殊文字不可",IF(COUNTA(A22:G22)=0,"",IF(OR(A22="",B22="",E22=""),"必須欄不足",IF(COUNTIFS($A$16:$A$25,A22)&lt;&gt;1,"ID重複",IF(OR(NOT(ISNUMBER(D22)),NOT(ISNUMBER(F22)),NOT(ISNUMBER(G22))),"数値を入力",IF(OR(D22&lt;=0,F22&lt;0,AND(G22&lt;&gt;0,G22&lt;&gt;0.08,G22&lt;&gt;0.1)),"数量・価格・税率確認","OK"))))))</f>
      </c>
      <c r="J22" s="2"/>
      <c r="K22" s="2"/>
    </row>
    <row r="23" ht="29" customHeight="1">
      <c r="A23" s="51"/>
      <c r="B23" s="51"/>
      <c r="C23" s="51"/>
      <c r="D23" s="51"/>
      <c r="E23" s="51"/>
      <c r="F23" s="55"/>
      <c r="G23" s="56"/>
      <c r="H23" s="14" t="str">
        <f>IF(I23="OK",ROUND(D23*F23,0),"")</f>
      </c>
      <c r="I23" s="32" t="str">
        <f>IF(OR(A23="案件共通",ISNUMBER(SEARCH("~*",A23)),ISNUMBER(SEARCH("~?",A23)),ISNUMBER(SEARCH("~~",A23))),"IDに予約語・特殊文字不可",IF(COUNTA(A23:G23)=0,"",IF(OR(A23="",B23="",E23=""),"必須欄不足",IF(COUNTIFS($A$16:$A$25,A23)&lt;&gt;1,"ID重複",IF(OR(NOT(ISNUMBER(D23)),NOT(ISNUMBER(F23)),NOT(ISNUMBER(G23))),"数値を入力",IF(OR(D23&lt;=0,F23&lt;0,AND(G23&lt;&gt;0,G23&lt;&gt;0.08,G23&lt;&gt;0.1)),"数量・価格・税率確認","OK"))))))</f>
      </c>
      <c r="J23" s="2"/>
      <c r="K23" s="2"/>
    </row>
    <row r="24" ht="29" customHeight="1">
      <c r="A24" s="51"/>
      <c r="B24" s="51"/>
      <c r="C24" s="51"/>
      <c r="D24" s="51"/>
      <c r="E24" s="51"/>
      <c r="F24" s="55"/>
      <c r="G24" s="56"/>
      <c r="H24" s="14" t="str">
        <f>IF(I24="OK",ROUND(D24*F24,0),"")</f>
      </c>
      <c r="I24" s="32" t="str">
        <f>IF(OR(A24="案件共通",ISNUMBER(SEARCH("~*",A24)),ISNUMBER(SEARCH("~?",A24)),ISNUMBER(SEARCH("~~",A24))),"IDに予約語・特殊文字不可",IF(COUNTA(A24:G24)=0,"",IF(OR(A24="",B24="",E24=""),"必須欄不足",IF(COUNTIFS($A$16:$A$25,A24)&lt;&gt;1,"ID重複",IF(OR(NOT(ISNUMBER(D24)),NOT(ISNUMBER(F24)),NOT(ISNUMBER(G24))),"数値を入力",IF(OR(D24&lt;=0,F24&lt;0,AND(G24&lt;&gt;0,G24&lt;&gt;0.08,G24&lt;&gt;0.1)),"数量・価格・税率確認","OK"))))))</f>
      </c>
      <c r="J24" s="2"/>
      <c r="K24" s="2"/>
    </row>
    <row r="25" ht="29" customHeight="1">
      <c r="A25" s="51"/>
      <c r="B25" s="51"/>
      <c r="C25" s="51"/>
      <c r="D25" s="51"/>
      <c r="E25" s="51"/>
      <c r="F25" s="55"/>
      <c r="G25" s="56"/>
      <c r="H25" s="14" t="str">
        <f>IF(I25="OK",ROUND(D25*F25,0),"")</f>
      </c>
      <c r="I25" s="32" t="str">
        <f>IF(OR(A25="案件共通",ISNUMBER(SEARCH("~*",A25)),ISNUMBER(SEARCH("~?",A25)),ISNUMBER(SEARCH("~~",A25))),"IDに予約語・特殊文字不可",IF(COUNTA(A25:G25)=0,"",IF(OR(A25="",B25="",E25=""),"必須欄不足",IF(COUNTIFS($A$16:$A$25,A25)&lt;&gt;1,"ID重複",IF(OR(NOT(ISNUMBER(D25)),NOT(ISNUMBER(F25)),NOT(ISNUMBER(G25))),"数値を入力",IF(OR(D25&lt;=0,F25&lt;0,AND(G25&lt;&gt;0,G25&lt;&gt;0.08,G25&lt;&gt;0.1)),"数量・価格・税率確認","OK"))))))</f>
      </c>
      <c r="J25" s="2"/>
      <c r="K25" s="2"/>
    </row>
    <row r="26" ht="24" customHeight="1">
      <c r="A26" s="2"/>
      <c r="B26" s="2"/>
      <c r="C26" s="2"/>
      <c r="D26" s="2"/>
      <c r="E26" s="2"/>
      <c r="F26" s="14"/>
      <c r="G26" s="14"/>
      <c r="H26" s="14"/>
      <c r="I26" s="2"/>
      <c r="J26" s="2"/>
      <c r="K26" s="2"/>
    </row>
    <row r="27" ht="24" customHeight="1">
      <c r="A27" s="2"/>
      <c r="B27" s="2"/>
      <c r="C27" s="2"/>
      <c r="D27" s="2"/>
      <c r="E27" s="2"/>
      <c r="F27" s="14"/>
      <c r="G27" s="14"/>
      <c r="H27" s="14"/>
      <c r="I27" s="2"/>
      <c r="J27" s="2"/>
      <c r="K27" s="2"/>
    </row>
    <row r="28" ht="24" customHeight="1">
      <c r="A28" s="2"/>
      <c r="B28" s="2"/>
      <c r="C28" s="2"/>
      <c r="D28" s="2"/>
      <c r="E28" s="2"/>
      <c r="F28" s="14"/>
      <c r="G28" s="14" t="str">
        <v>入力状態</v>
      </c>
      <c r="H28" s="14"/>
      <c r="I28" s="2" t="str">
        <f>IF(COUNTIFS(I16:I25,"OK")=0,"見積明細なし",IF(SUMPRODUCT((I16:I25&lt;&gt;"")*(I16:I25&lt;&gt;"OK"))&gt;0,"見積明細を確認",IF(OR(NOT(ISNUMBER(B8)),B8&lt;0,B8&gt;1),"確定値引率を確認","OK")))</f>
        <v>OK</v>
      </c>
      <c r="J28" s="2"/>
      <c r="K28" s="2"/>
    </row>
    <row r="29" ht="24" customHeight="1">
      <c r="A29" s="2"/>
      <c r="B29" s="2"/>
      <c r="C29" s="2"/>
      <c r="D29" s="2"/>
      <c r="E29" s="2"/>
      <c r="F29" s="14"/>
      <c r="G29" s="14" t="str">
        <v>税抜小計</v>
      </c>
      <c r="H29" s="14" t="n">
        <f>IF(I28="OK",SUM(H16:H25),"")</f>
        <v>160000</v>
      </c>
      <c r="I29" s="2"/>
      <c r="J29" s="2"/>
      <c r="K29" s="2"/>
    </row>
    <row r="30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32" customHeight="1">
      <c r="A31" s="10" t="str">
        <v>明細IDは半角英数字で固定。原価も同じIDに紐付けます。数量変更で一式費用は増減しません。</v>
      </c>
      <c r="B31" s="10"/>
      <c r="C31" s="10"/>
      <c r="D31" s="10"/>
      <c r="E31" s="10"/>
      <c r="F31" s="10"/>
      <c r="G31" s="10"/>
      <c r="H31" s="10"/>
      <c r="I31" s="10"/>
      <c r="J31" s="10"/>
      <c r="K31" s="2"/>
    </row>
    <row r="32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32" customHeight="1">
      <c r="A33" s="10" t="str">
        <v>税率は取引に応じて0・8%・10%を選択。値引き後明細金額を円単位四捨五入、税額は税率別に切り捨て。</v>
      </c>
      <c r="B33" s="10"/>
      <c r="C33" s="10"/>
      <c r="D33" s="10"/>
      <c r="E33" s="10"/>
      <c r="F33" s="10"/>
      <c r="G33" s="10"/>
      <c r="H33" s="10"/>
      <c r="I33" s="10"/>
      <c r="J33" s="10"/>
      <c r="K33" s="2"/>
    </row>
    <row r="34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</sheetData>
  <mergeCells>
    <mergeCell ref="A2:J2"/>
    <mergeCell ref="A31:J31"/>
    <mergeCell ref="A33:J33"/>
    <mergeCell ref="B5:F5"/>
    <mergeCell ref="B6:F6"/>
    <mergeCell ref="B7:F7"/>
    <mergeCell ref="B10:F10"/>
    <mergeCell ref="B11:F11"/>
    <mergeCell ref="B12:C12"/>
    <mergeCell ref="D12:F12"/>
  </mergeCells>
  <conditionalFormatting sqref="I16:I25">
    <cfRule type="expression" dxfId="0" priority="1">
      <formula>AND(I16&lt;&gt;"",I16&lt;&gt;"OK")</formula>
    </cfRule>
  </conditionalFormatting>
  <conditionalFormatting sqref="D12:F12">
    <cfRule type="expression" dxfId="4" priority="2">
      <formula>$D$12="入力OK"</formula>
    </cfRule>
    <cfRule type="expression" dxfId="5" priority="3">
      <formula>$D$12="未入力"</formula>
    </cfRule>
    <cfRule type="expression" dxfId="6" priority="4">
      <formula>$D$12="要確認"</formula>
    </cfRule>
  </conditionalFormatting>
  <dataValidations count="4">
    <dataValidation type="decimal" operator="between" sqref="B8" showErrorMessage="1" errorStyle="stop" errorTitle="入力値を確認" error="指定された範囲・選択肢で入力してください。">
      <formula1>0</formula1>
      <formula2>1</formula2>
    </dataValidation>
    <dataValidation type="decimal" operator="between" sqref="D16:D25" showErrorMessage="1" errorStyle="stop" errorTitle="入力値を確認" error="指定された範囲・選択肢で入力してください。">
      <formula1>0.000001</formula1>
      <formula2>1000000000</formula2>
    </dataValidation>
    <dataValidation type="decimal" operator="between" sqref="F16:F25" showErrorMessage="1" errorStyle="stop" errorTitle="入力値を確認" error="指定された範囲・選択肢で入力してください。">
      <formula1>0</formula1>
      <formula2>1000000000000</formula2>
    </dataValidation>
    <dataValidation type="list" sqref="G16:G25" showErrorMessage="1" errorStyle="stop" errorTitle="入力値を確認" error="指定された範囲・選択肢で入力してください。">
      <formula1>"0,0.08,0.1"</formula1>
    </dataValidation>
  </dataValidations>
  <pageMargins left="0.7" right="0.7" top="0.75" bottom="0.75" header="0.3" footer="0.3"/>
  <legacyDrawing r:id="R7eb32e66dfad4d5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7988A"/>
  </sheetPr>
  <sheetViews>
    <sheetView showGridLines="0" workbookViewId="0" zoomScale="80" zoomScaleNormal="100"/>
  </sheetViews>
  <sheetFormatPr defaultRowHeight="15"/>
  <cols>
    <col min="1" max="1" width="22" hidden="0" customWidth="1"/>
    <col min="2" max="2" width="21" hidden="0" customWidth="1"/>
    <col min="3" max="3" width="24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5" hidden="0" customWidth="1"/>
    <col min="12" max="12" width="18" hidden="0" customWidth="1"/>
    <col min="13" max="13" width="18" hidden="0" customWidth="1"/>
    <col min="14" max="14" width="1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7" t="str">
        <v>原価(木工所)</v>
      </c>
      <c r="B2" s="37"/>
      <c r="C2" s="37"/>
      <c r="D2" s="37"/>
      <c r="E2" s="37"/>
      <c r="F2" s="37"/>
      <c r="G2" s="37"/>
      <c r="H2" s="37"/>
      <c r="I2" s="37"/>
      <c r="J2" s="37"/>
      <c r="K2" s="2"/>
    </row>
    <row r="3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4" customHeight="1">
      <c r="A4" s="2" t="str">
        <v>選択中の業種</v>
      </c>
      <c r="B4" s="2" t="str">
        <f>'採算シミュレーション'!B5</f>
        <v>木工所</v>
      </c>
      <c r="C4" s="2"/>
      <c r="D4" s="2" t="str">
        <f>IF(B4="木工所","この原価を採算計算に使用中","この原価は現在の採算計算に使われていません")</f>
        <v>この原価を採算計算に使用中</v>
      </c>
      <c r="E4" s="2"/>
      <c r="F4" s="2"/>
      <c r="G4" s="2"/>
      <c r="H4" s="2"/>
      <c r="I4" s="2"/>
      <c r="J4" s="2"/>
      <c r="K4" s="2"/>
      <c r="L4" s="21" t="str">
        <v>COST-V1</v>
      </c>
      <c r="M4" s="21"/>
      <c r="N4" s="21"/>
    </row>
    <row r="5" ht="24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1" t="str">
        <v>原価入力状態</v>
      </c>
      <c r="M5" s="21" t="str">
        <f>IF(COUNTIFS(H16:H55,"OK")=0,"原価明細なし",IF(SUMPRODUCT((H16:H55&lt;&gt;"")*(H16:H55&lt;&gt;"OK"))&gt;0,"原価明細を確認",IF(AND(B11&lt;&gt;"計上済み",B11&lt;&gt;"単価に含む",B11&lt;&gt;"今回は未算入"),"共通経費の扱い確認","OK")))</f>
        <v>OK</v>
      </c>
      <c r="N5" s="21"/>
    </row>
    <row r="6" ht="32" customHeight="1">
      <c r="A6" s="10" t="str">
        <v>材料・加工・外注・配送を、明細IDまたは「案件共通」に紐付けます。</v>
      </c>
      <c r="B6" s="25"/>
      <c r="C6" s="10"/>
      <c r="D6" s="10"/>
      <c r="E6" s="10"/>
      <c r="F6" s="10"/>
      <c r="G6" s="10"/>
      <c r="H6" s="10"/>
      <c r="I6" s="10"/>
      <c r="J6" s="10"/>
      <c r="K6" s="2"/>
      <c r="L6" s="21" t="str">
        <v>案件共通費</v>
      </c>
      <c r="M6" s="21" t="n">
        <f>SUMIFS(F16:F55,A16:A55,"案件共通")</f>
        <v>8000</v>
      </c>
      <c r="N6" s="21"/>
    </row>
    <row r="7" ht="24" customHeight="1">
      <c r="A7" s="2"/>
      <c r="B7" s="24"/>
      <c r="C7" s="2"/>
      <c r="D7" s="2"/>
      <c r="E7" s="2"/>
      <c r="F7" s="2"/>
      <c r="G7" s="2"/>
      <c r="H7" s="2"/>
      <c r="I7" s="2"/>
      <c r="J7" s="2"/>
      <c r="K7" s="2"/>
      <c r="L7" s="21" t="str">
        <v>共通経費表示</v>
      </c>
      <c r="M7" s="21" t="str">
        <f>B11</f>
        <v>今回は未算入</v>
      </c>
      <c r="N7" s="21"/>
    </row>
    <row r="8" ht="32" customHeight="1">
      <c r="A8" s="10" t="str">
        <v>数量連動：使用量/販売単位 × 原価単価 × 見積数量。一式：使用量 × 原価単価。</v>
      </c>
      <c r="B8" s="25"/>
      <c r="C8" s="10"/>
      <c r="D8" s="10"/>
      <c r="E8" s="10"/>
      <c r="F8" s="10"/>
      <c r="G8" s="10"/>
      <c r="H8" s="10"/>
      <c r="I8" s="10"/>
      <c r="J8" s="10"/>
      <c r="K8" s="2"/>
      <c r="L8" s="21"/>
      <c r="M8" s="21"/>
      <c r="N8" s="21"/>
    </row>
    <row r="9" ht="24" customHeight="1">
      <c r="A9" s="2"/>
      <c r="B9" s="24"/>
      <c r="C9" s="2"/>
      <c r="D9" s="2"/>
      <c r="E9" s="2"/>
      <c r="F9" s="2"/>
      <c r="G9" s="2"/>
      <c r="H9" s="2"/>
      <c r="I9" s="2"/>
      <c r="J9" s="2"/>
      <c r="K9" s="2"/>
      <c r="L9" s="21"/>
      <c r="M9" s="21"/>
      <c r="N9" s="21"/>
    </row>
    <row r="10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1"/>
      <c r="M10" s="21"/>
      <c r="N10" s="21"/>
    </row>
    <row r="11" ht="24" customHeight="1">
      <c r="A11" s="2" t="str">
        <v>共通経費の扱い</v>
      </c>
      <c r="B11" s="51" t="str">
        <v>今回は未算入</v>
      </c>
      <c r="C11" s="2"/>
      <c r="D11" s="2"/>
      <c r="E11" s="2"/>
      <c r="F11" s="2"/>
      <c r="G11" s="2"/>
      <c r="H11" s="2"/>
      <c r="I11" s="2"/>
      <c r="J11" s="2"/>
      <c r="K11" s="2"/>
      <c r="L11" s="21"/>
      <c r="M11" s="21"/>
      <c r="N11" s="21"/>
    </row>
    <row r="12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1"/>
      <c r="M12" s="21"/>
      <c r="N12" s="21"/>
    </row>
    <row r="13" ht="32" customHeight="1">
      <c r="A13" s="10" t="str">
        <v>青色が入力欄。未算入の共通経費は利益に含まれません。既に単価に含む費用は二重計上しないでください。</v>
      </c>
      <c r="B13" s="10"/>
      <c r="C13" s="10"/>
      <c r="D13" s="10"/>
      <c r="E13" s="10"/>
      <c r="F13" s="10"/>
      <c r="G13" s="10"/>
      <c r="H13" s="10"/>
      <c r="I13" s="10"/>
      <c r="J13" s="10"/>
      <c r="K13" s="2"/>
      <c r="L13" s="21"/>
      <c r="M13" s="21"/>
      <c r="N13" s="21"/>
    </row>
    <row r="14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1"/>
      <c r="M14" s="21"/>
      <c r="N14" s="21"/>
    </row>
    <row r="15" ht="30" customHeight="1">
      <c r="A15" s="6" t="str">
        <v>対象明細ID</v>
      </c>
      <c r="B15" s="6" t="str">
        <v>区分</v>
      </c>
      <c r="C15" s="6" t="str">
        <v>内容</v>
      </c>
      <c r="D15" s="6" t="str">
        <v>使用量・時間</v>
      </c>
      <c r="E15" s="6" t="str">
        <v>原価単価</v>
      </c>
      <c r="F15" s="6" t="str">
        <v>原価金額</v>
      </c>
      <c r="G15" s="6" t="str">
        <v>根拠・単位</v>
      </c>
      <c r="H15" s="6" t="str">
        <v>入力確認</v>
      </c>
      <c r="I15" s="6" t="str">
        <v>数量の扱い</v>
      </c>
      <c r="J15" s="6" t="str">
        <v>見積数量</v>
      </c>
      <c r="K15" s="2" t="str">
        <v>適用単価</v>
      </c>
      <c r="L15" s="22" t="str">
        <v>明細ID</v>
      </c>
      <c r="M15" s="22" t="str">
        <v>紐付く原価</v>
      </c>
      <c r="N15" s="22" t="str">
        <v>原価行数</v>
      </c>
    </row>
    <row r="16" ht="30" customHeight="1">
      <c r="A16" s="51" t="str">
        <v>M001</v>
      </c>
      <c r="B16" s="51" t="str">
        <v>材料</v>
      </c>
      <c r="C16" s="51" t="str">
        <v>テーブル材料</v>
      </c>
      <c r="D16" s="57" t="n">
        <v>1</v>
      </c>
      <c r="E16" s="57" t="n">
        <v>15000</v>
      </c>
      <c r="F16" s="14" t="n">
        <f>IF(H16="OK",ROUND(D16*K16*J16,0),"")</f>
        <v>30000</v>
      </c>
      <c r="G16" s="54" t="str">
        <v>台当たり</v>
      </c>
      <c r="H16" s="32" t="str">
        <f>IF(COUNTA(A16:E16)+COUNTA(G16)+COUNTA(I16)=0,"",IF(OR(A16="",B16="",C16="",I16=""),"必須欄不足",IF(AND(A16&lt;&gt;"案件共通",COUNTIFS('見積入力'!$A$16:$A$25,A16)&lt;&gt;1),"ID未登録・重複",IF(OR(AND(I16&lt;&gt;"数量連動",I16&lt;&gt;"一式"),AND(A16="案件共通",I16&lt;&gt;"一式")),"数量の扱い確認",IF(OR(NOT(ISNUMBER(D16)),NOT(ISNUMBER(K16)),AND(B16&lt;&gt;"生産原価",E16=""),D16="",NOT(ISNUMBER(J16))),"数値を入力",IF(OR(D16&lt;0,K16&lt;0,J16&lt;=0),"負数・数量確認","OK"))))))</f>
        <v>OK</v>
      </c>
      <c r="I16" s="51" t="str">
        <v>数量連動</v>
      </c>
      <c r="J16" s="2" t="n">
        <f>IF(A16="","",IF(I16="一式",1,IFERROR(INDEX('見積入力'!$D$16:$D$25,MATCH(A16,'見積入力'!$A$16:$A$25,0)),"ID未登録")))</f>
        <v>2</v>
      </c>
      <c r="K16" s="24" t="n">
        <f>IF(A16="","",E16)</f>
        <v>15000</v>
      </c>
      <c r="L16" s="21" t="str">
        <f>IF('見積入力'!A16="","",'見積入力'!A16)</f>
        <v>M001</v>
      </c>
      <c r="M16" s="21" t="n">
        <f>IF(L16="","",SUMIFS($F$16:$F$55,$A$16:$A$55,L16))</f>
        <v>50000</v>
      </c>
      <c r="N16" s="21" t="n">
        <f>IF(L16="","",COUNTIFS($A$16:$A$55,L16))</f>
        <v>2</v>
      </c>
    </row>
    <row r="17" ht="30" customHeight="1">
      <c r="A17" s="51" t="str">
        <v>M001</v>
      </c>
      <c r="B17" s="51" t="str">
        <v>作業</v>
      </c>
      <c r="C17" s="51" t="str">
        <v>テーブル作業</v>
      </c>
      <c r="D17" s="57" t="n">
        <v>10</v>
      </c>
      <c r="E17" s="57" t="n">
        <v>1000</v>
      </c>
      <c r="F17" s="14" t="n">
        <f>IF(H17="OK",ROUND(D17*K17*J17,0),"")</f>
        <v>20000</v>
      </c>
      <c r="G17" s="54" t="str">
        <v>時間/台</v>
      </c>
      <c r="H17" s="32" t="str">
        <f>IF(COUNTA(A17:E17)+COUNTA(G17)+COUNTA(I17)=0,"",IF(OR(A17="",B17="",C17="",I17=""),"必須欄不足",IF(AND(A17&lt;&gt;"案件共通",COUNTIFS('見積入力'!$A$16:$A$25,A17)&lt;&gt;1),"ID未登録・重複",IF(OR(AND(I17&lt;&gt;"数量連動",I17&lt;&gt;"一式"),AND(A17="案件共通",I17&lt;&gt;"一式")),"数量の扱い確認",IF(OR(NOT(ISNUMBER(D17)),NOT(ISNUMBER(K17)),AND(B17&lt;&gt;"生産原価",E17=""),D17="",NOT(ISNUMBER(J17))),"数値を入力",IF(OR(D17&lt;0,K17&lt;0,J17&lt;=0),"負数・数量確認","OK"))))))</f>
        <v>OK</v>
      </c>
      <c r="I17" s="51" t="str">
        <v>数量連動</v>
      </c>
      <c r="J17" s="2" t="n">
        <f>IF(A17="","",IF(I17="一式",1,IFERROR(INDEX('見積入力'!$D$16:$D$25,MATCH(A17,'見積入力'!$A$16:$A$25,0)),"ID未登録")))</f>
        <v>2</v>
      </c>
      <c r="K17" s="24" t="n">
        <f>IF(A17="","",E17)</f>
        <v>1000</v>
      </c>
      <c r="L17" s="21" t="str">
        <f>IF('見積入力'!A17="","",'見積入力'!A17)</f>
        <v>M002</v>
      </c>
      <c r="M17" s="21" t="n">
        <f>IF(L17="","",SUMIFS($F$16:$F$55,$A$16:$A$55,L17))</f>
        <v>30000</v>
      </c>
      <c r="N17" s="21" t="n">
        <f>IF(L17="","",COUNTIFS($A$16:$A$55,L17))</f>
        <v>2</v>
      </c>
    </row>
    <row r="18" ht="30" customHeight="1">
      <c r="A18" s="51" t="str">
        <v>M002</v>
      </c>
      <c r="B18" s="51" t="str">
        <v>材料</v>
      </c>
      <c r="C18" s="51" t="str">
        <v>椅子材料</v>
      </c>
      <c r="D18" s="57" t="n">
        <v>1</v>
      </c>
      <c r="E18" s="57" t="n">
        <v>5000</v>
      </c>
      <c r="F18" s="14" t="n">
        <f>IF(H18="OK",ROUND(D18*K18*J18,0),"")</f>
        <v>20000</v>
      </c>
      <c r="G18" s="54" t="str">
        <v>脚当たり</v>
      </c>
      <c r="H18" s="32" t="str">
        <f>IF(COUNTA(A18:E18)+COUNTA(G18)+COUNTA(I18)=0,"",IF(OR(A18="",B18="",C18="",I18=""),"必須欄不足",IF(AND(A18&lt;&gt;"案件共通",COUNTIFS('見積入力'!$A$16:$A$25,A18)&lt;&gt;1),"ID未登録・重複",IF(OR(AND(I18&lt;&gt;"数量連動",I18&lt;&gt;"一式"),AND(A18="案件共通",I18&lt;&gt;"一式")),"数量の扱い確認",IF(OR(NOT(ISNUMBER(D18)),NOT(ISNUMBER(K18)),AND(B18&lt;&gt;"生産原価",E18=""),D18="",NOT(ISNUMBER(J18))),"数値を入力",IF(OR(D18&lt;0,K18&lt;0,J18&lt;=0),"負数・数量確認","OK"))))))</f>
        <v>OK</v>
      </c>
      <c r="I18" s="51" t="str">
        <v>数量連動</v>
      </c>
      <c r="J18" s="2" t="n">
        <f>IF(A18="","",IF(I18="一式",1,IFERROR(INDEX('見積入力'!$D$16:$D$25,MATCH(A18,'見積入力'!$A$16:$A$25,0)),"ID未登録")))</f>
        <v>4</v>
      </c>
      <c r="K18" s="24" t="n">
        <f>IF(A18="","",E18)</f>
        <v>5000</v>
      </c>
      <c r="L18" s="21" t="str">
        <f>IF('見積入力'!A18="","",'見積入力'!A18)</f>
      </c>
      <c r="M18" s="21" t="str">
        <f>IF(L18="","",SUMIFS($F$16:$F$55,$A$16:$A$55,L18))</f>
      </c>
      <c r="N18" s="21" t="str">
        <f>IF(L18="","",COUNTIFS($A$16:$A$55,L18))</f>
      </c>
    </row>
    <row r="19" ht="30" customHeight="1">
      <c r="A19" s="51" t="str">
        <v>M002</v>
      </c>
      <c r="B19" s="51" t="str">
        <v>作業</v>
      </c>
      <c r="C19" s="51" t="str">
        <v>椅子作業</v>
      </c>
      <c r="D19" s="57" t="n">
        <v>2.5</v>
      </c>
      <c r="E19" s="57" t="n">
        <v>1000</v>
      </c>
      <c r="F19" s="14" t="n">
        <f>IF(H19="OK",ROUND(D19*K19*J19,0),"")</f>
        <v>10000</v>
      </c>
      <c r="G19" s="54" t="str">
        <v>時間/脚</v>
      </c>
      <c r="H19" s="32" t="str">
        <f>IF(COUNTA(A19:E19)+COUNTA(G19)+COUNTA(I19)=0,"",IF(OR(A19="",B19="",C19="",I19=""),"必須欄不足",IF(AND(A19&lt;&gt;"案件共通",COUNTIFS('見積入力'!$A$16:$A$25,A19)&lt;&gt;1),"ID未登録・重複",IF(OR(AND(I19&lt;&gt;"数量連動",I19&lt;&gt;"一式"),AND(A19="案件共通",I19&lt;&gt;"一式")),"数量の扱い確認",IF(OR(NOT(ISNUMBER(D19)),NOT(ISNUMBER(K19)),AND(B19&lt;&gt;"生産原価",E19=""),D19="",NOT(ISNUMBER(J19))),"数値を入力",IF(OR(D19&lt;0,K19&lt;0,J19&lt;=0),"負数・数量確認","OK"))))))</f>
        <v>OK</v>
      </c>
      <c r="I19" s="51" t="str">
        <v>数量連動</v>
      </c>
      <c r="J19" s="2" t="n">
        <f>IF(A19="","",IF(I19="一式",1,IFERROR(INDEX('見積入力'!$D$16:$D$25,MATCH(A19,'見積入力'!$A$16:$A$25,0)),"ID未登録")))</f>
        <v>4</v>
      </c>
      <c r="K19" s="24" t="n">
        <f>IF(A19="","",E19)</f>
        <v>1000</v>
      </c>
      <c r="L19" s="21" t="str">
        <f>IF('見積入力'!A19="","",'見積入力'!A19)</f>
      </c>
      <c r="M19" s="21" t="str">
        <f>IF(L19="","",SUMIFS($F$16:$F$55,$A$16:$A$55,L19))</f>
      </c>
      <c r="N19" s="21" t="str">
        <f>IF(L19="","",COUNTIFS($A$16:$A$55,L19))</f>
      </c>
    </row>
    <row r="20" ht="30" customHeight="1">
      <c r="A20" s="51" t="str">
        <v>案件共通</v>
      </c>
      <c r="B20" s="51" t="str">
        <v>配送</v>
      </c>
      <c r="C20" s="51" t="str">
        <v>一括配送</v>
      </c>
      <c r="D20" s="57" t="n">
        <v>1</v>
      </c>
      <c r="E20" s="57" t="n">
        <v>8000</v>
      </c>
      <c r="F20" s="14" t="n">
        <f>IF(H20="OK",ROUND(D20*K20*J20,0),"")</f>
        <v>8000</v>
      </c>
      <c r="G20" s="54" t="str">
        <v>納品1回</v>
      </c>
      <c r="H20" s="32" t="str">
        <f>IF(COUNTA(A20:E20)+COUNTA(G20)+COUNTA(I20)=0,"",IF(OR(A20="",B20="",C20="",I20=""),"必須欄不足",IF(AND(A20&lt;&gt;"案件共通",COUNTIFS('見積入力'!$A$16:$A$25,A20)&lt;&gt;1),"ID未登録・重複",IF(OR(AND(I20&lt;&gt;"数量連動",I20&lt;&gt;"一式"),AND(A20="案件共通",I20&lt;&gt;"一式")),"数量の扱い確認",IF(OR(NOT(ISNUMBER(D20)),NOT(ISNUMBER(K20)),AND(B20&lt;&gt;"生産原価",E20=""),D20="",NOT(ISNUMBER(J20))),"数値を入力",IF(OR(D20&lt;0,K20&lt;0,J20&lt;=0),"負数・数量確認","OK"))))))</f>
        <v>OK</v>
      </c>
      <c r="I20" s="51" t="str">
        <v>一式</v>
      </c>
      <c r="J20" s="2" t="n">
        <f>IF(A20="","",IF(I20="一式",1,IFERROR(INDEX('見積入力'!$D$16:$D$25,MATCH(A20,'見積入力'!$A$16:$A$25,0)),"ID未登録")))</f>
        <v>1</v>
      </c>
      <c r="K20" s="24" t="n">
        <f>IF(A20="","",E20)</f>
        <v>8000</v>
      </c>
      <c r="L20" s="21" t="str">
        <f>IF('見積入力'!A20="","",'見積入力'!A20)</f>
      </c>
      <c r="M20" s="21" t="str">
        <f>IF(L20="","",SUMIFS($F$16:$F$55,$A$16:$A$55,L20))</f>
      </c>
      <c r="N20" s="21" t="str">
        <f>IF(L20="","",COUNTIFS($A$16:$A$55,L20))</f>
      </c>
    </row>
    <row r="21" ht="30" customHeight="1">
      <c r="A21" s="51"/>
      <c r="B21" s="51"/>
      <c r="C21" s="51"/>
      <c r="D21" s="57"/>
      <c r="E21" s="57"/>
      <c r="F21" s="14" t="str">
        <f>IF(H21="OK",ROUND(D21*K21*J21,0),"")</f>
      </c>
      <c r="G21" s="54"/>
      <c r="H21" s="32" t="str">
        <f>IF(COUNTA(A21:E21)+COUNTA(G21)+COUNTA(I21)=0,"",IF(OR(A21="",B21="",C21="",I21=""),"必須欄不足",IF(AND(A21&lt;&gt;"案件共通",COUNTIFS('見積入力'!$A$16:$A$25,A21)&lt;&gt;1),"ID未登録・重複",IF(OR(AND(I21&lt;&gt;"数量連動",I21&lt;&gt;"一式"),AND(A21="案件共通",I21&lt;&gt;"一式")),"数量の扱い確認",IF(OR(NOT(ISNUMBER(D21)),NOT(ISNUMBER(K21)),AND(B21&lt;&gt;"生産原価",E21=""),D21="",NOT(ISNUMBER(J21))),"数値を入力",IF(OR(D21&lt;0,K21&lt;0,J21&lt;=0),"負数・数量確認","OK"))))))</f>
      </c>
      <c r="I21" s="51"/>
      <c r="J21" s="2" t="str">
        <f>IF(A21="","",IF(I21="一式",1,IFERROR(INDEX('見積入力'!$D$16:$D$25,MATCH(A21,'見積入力'!$A$16:$A$25,0)),"ID未登録")))</f>
      </c>
      <c r="K21" s="24" t="str">
        <f>IF(A21="","",E21)</f>
      </c>
      <c r="L21" s="21" t="str">
        <f>IF('見積入力'!A21="","",'見積入力'!A21)</f>
      </c>
      <c r="M21" s="21" t="str">
        <f>IF(L21="","",SUMIFS($F$16:$F$55,$A$16:$A$55,L21))</f>
      </c>
      <c r="N21" s="21" t="str">
        <f>IF(L21="","",COUNTIFS($A$16:$A$55,L21))</f>
      </c>
    </row>
    <row r="22" ht="30" customHeight="1">
      <c r="A22" s="51"/>
      <c r="B22" s="51"/>
      <c r="C22" s="51"/>
      <c r="D22" s="57"/>
      <c r="E22" s="57"/>
      <c r="F22" s="14" t="str">
        <f>IF(H22="OK",ROUND(D22*K22*J22,0),"")</f>
      </c>
      <c r="G22" s="54"/>
      <c r="H22" s="32" t="str">
        <f>IF(COUNTA(A22:E22)+COUNTA(G22)+COUNTA(I22)=0,"",IF(OR(A22="",B22="",C22="",I22=""),"必須欄不足",IF(AND(A22&lt;&gt;"案件共通",COUNTIFS('見積入力'!$A$16:$A$25,A22)&lt;&gt;1),"ID未登録・重複",IF(OR(AND(I22&lt;&gt;"数量連動",I22&lt;&gt;"一式"),AND(A22="案件共通",I22&lt;&gt;"一式")),"数量の扱い確認",IF(OR(NOT(ISNUMBER(D22)),NOT(ISNUMBER(K22)),AND(B22&lt;&gt;"生産原価",E22=""),D22="",NOT(ISNUMBER(J22))),"数値を入力",IF(OR(D22&lt;0,K22&lt;0,J22&lt;=0),"負数・数量確認","OK"))))))</f>
      </c>
      <c r="I22" s="51"/>
      <c r="J22" s="2" t="str">
        <f>IF(A22="","",IF(I22="一式",1,IFERROR(INDEX('見積入力'!$D$16:$D$25,MATCH(A22,'見積入力'!$A$16:$A$25,0)),"ID未登録")))</f>
      </c>
      <c r="K22" s="24" t="str">
        <f>IF(A22="","",E22)</f>
      </c>
      <c r="L22" s="21" t="str">
        <f>IF('見積入力'!A22="","",'見積入力'!A22)</f>
      </c>
      <c r="M22" s="21" t="str">
        <f>IF(L22="","",SUMIFS($F$16:$F$55,$A$16:$A$55,L22))</f>
      </c>
      <c r="N22" s="21" t="str">
        <f>IF(L22="","",COUNTIFS($A$16:$A$55,L22))</f>
      </c>
    </row>
    <row r="23" ht="30" customHeight="1">
      <c r="A23" s="51"/>
      <c r="B23" s="51"/>
      <c r="C23" s="51"/>
      <c r="D23" s="57"/>
      <c r="E23" s="57"/>
      <c r="F23" s="14" t="str">
        <f>IF(H23="OK",ROUND(D23*K23*J23,0),"")</f>
      </c>
      <c r="G23" s="54"/>
      <c r="H23" s="32" t="str">
        <f>IF(COUNTA(A23:E23)+COUNTA(G23)+COUNTA(I23)=0,"",IF(OR(A23="",B23="",C23="",I23=""),"必須欄不足",IF(AND(A23&lt;&gt;"案件共通",COUNTIFS('見積入力'!$A$16:$A$25,A23)&lt;&gt;1),"ID未登録・重複",IF(OR(AND(I23&lt;&gt;"数量連動",I23&lt;&gt;"一式"),AND(A23="案件共通",I23&lt;&gt;"一式")),"数量の扱い確認",IF(OR(NOT(ISNUMBER(D23)),NOT(ISNUMBER(K23)),AND(B23&lt;&gt;"生産原価",E23=""),D23="",NOT(ISNUMBER(J23))),"数値を入力",IF(OR(D23&lt;0,K23&lt;0,J23&lt;=0),"負数・数量確認","OK"))))))</f>
      </c>
      <c r="I23" s="51"/>
      <c r="J23" s="2" t="str">
        <f>IF(A23="","",IF(I23="一式",1,IFERROR(INDEX('見積入力'!$D$16:$D$25,MATCH(A23,'見積入力'!$A$16:$A$25,0)),"ID未登録")))</f>
      </c>
      <c r="K23" s="24" t="str">
        <f>IF(A23="","",E23)</f>
      </c>
      <c r="L23" s="21" t="str">
        <f>IF('見積入力'!A23="","",'見積入力'!A23)</f>
      </c>
      <c r="M23" s="21" t="str">
        <f>IF(L23="","",SUMIFS($F$16:$F$55,$A$16:$A$55,L23))</f>
      </c>
      <c r="N23" s="21" t="str">
        <f>IF(L23="","",COUNTIFS($A$16:$A$55,L23))</f>
      </c>
    </row>
    <row r="24" ht="30" customHeight="1">
      <c r="A24" s="51"/>
      <c r="B24" s="51"/>
      <c r="C24" s="51"/>
      <c r="D24" s="57"/>
      <c r="E24" s="57"/>
      <c r="F24" s="14" t="str">
        <f>IF(H24="OK",ROUND(D24*K24*J24,0),"")</f>
      </c>
      <c r="G24" s="54"/>
      <c r="H24" s="32" t="str">
        <f>IF(COUNTA(A24:E24)+COUNTA(G24)+COUNTA(I24)=0,"",IF(OR(A24="",B24="",C24="",I24=""),"必須欄不足",IF(AND(A24&lt;&gt;"案件共通",COUNTIFS('見積入力'!$A$16:$A$25,A24)&lt;&gt;1),"ID未登録・重複",IF(OR(AND(I24&lt;&gt;"数量連動",I24&lt;&gt;"一式"),AND(A24="案件共通",I24&lt;&gt;"一式")),"数量の扱い確認",IF(OR(NOT(ISNUMBER(D24)),NOT(ISNUMBER(K24)),AND(B24&lt;&gt;"生産原価",E24=""),D24="",NOT(ISNUMBER(J24))),"数値を入力",IF(OR(D24&lt;0,K24&lt;0,J24&lt;=0),"負数・数量確認","OK"))))))</f>
      </c>
      <c r="I24" s="51"/>
      <c r="J24" s="2" t="str">
        <f>IF(A24="","",IF(I24="一式",1,IFERROR(INDEX('見積入力'!$D$16:$D$25,MATCH(A24,'見積入力'!$A$16:$A$25,0)),"ID未登録")))</f>
      </c>
      <c r="K24" s="24" t="str">
        <f>IF(A24="","",E24)</f>
      </c>
      <c r="L24" s="21" t="str">
        <f>IF('見積入力'!A24="","",'見積入力'!A24)</f>
      </c>
      <c r="M24" s="21" t="str">
        <f>IF(L24="","",SUMIFS($F$16:$F$55,$A$16:$A$55,L24))</f>
      </c>
      <c r="N24" s="21" t="str">
        <f>IF(L24="","",COUNTIFS($A$16:$A$55,L24))</f>
      </c>
    </row>
    <row r="25" ht="30" customHeight="1">
      <c r="A25" s="51"/>
      <c r="B25" s="51"/>
      <c r="C25" s="51"/>
      <c r="D25" s="57"/>
      <c r="E25" s="57"/>
      <c r="F25" s="14" t="str">
        <f>IF(H25="OK",ROUND(D25*K25*J25,0),"")</f>
      </c>
      <c r="G25" s="54"/>
      <c r="H25" s="32" t="str">
        <f>IF(COUNTA(A25:E25)+COUNTA(G25)+COUNTA(I25)=0,"",IF(OR(A25="",B25="",C25="",I25=""),"必須欄不足",IF(AND(A25&lt;&gt;"案件共通",COUNTIFS('見積入力'!$A$16:$A$25,A25)&lt;&gt;1),"ID未登録・重複",IF(OR(AND(I25&lt;&gt;"数量連動",I25&lt;&gt;"一式"),AND(A25="案件共通",I25&lt;&gt;"一式")),"数量の扱い確認",IF(OR(NOT(ISNUMBER(D25)),NOT(ISNUMBER(K25)),AND(B25&lt;&gt;"生産原価",E25=""),D25="",NOT(ISNUMBER(J25))),"数値を入力",IF(OR(D25&lt;0,K25&lt;0,J25&lt;=0),"負数・数量確認","OK"))))))</f>
      </c>
      <c r="I25" s="51"/>
      <c r="J25" s="2" t="str">
        <f>IF(A25="","",IF(I25="一式",1,IFERROR(INDEX('見積入力'!$D$16:$D$25,MATCH(A25,'見積入力'!$A$16:$A$25,0)),"ID未登録")))</f>
      </c>
      <c r="K25" s="24" t="str">
        <f>IF(A25="","",E25)</f>
      </c>
      <c r="L25" s="21" t="str">
        <f>IF('見積入力'!A25="","",'見積入力'!A25)</f>
      </c>
      <c r="M25" s="21" t="str">
        <f>IF(L25="","",SUMIFS($F$16:$F$55,$A$16:$A$55,L25))</f>
      </c>
      <c r="N25" s="21" t="str">
        <f>IF(L25="","",COUNTIFS($A$16:$A$55,L25))</f>
      </c>
    </row>
    <row r="26" ht="30" customHeight="1">
      <c r="A26" s="51"/>
      <c r="B26" s="51"/>
      <c r="C26" s="51"/>
      <c r="D26" s="57"/>
      <c r="E26" s="57"/>
      <c r="F26" s="14" t="str">
        <f>IF(H26="OK",ROUND(D26*K26*J26,0),"")</f>
      </c>
      <c r="G26" s="54"/>
      <c r="H26" s="32" t="str">
        <f>IF(COUNTA(A26:E26)+COUNTA(G26)+COUNTA(I26)=0,"",IF(OR(A26="",B26="",C26="",I26=""),"必須欄不足",IF(AND(A26&lt;&gt;"案件共通",COUNTIFS('見積入力'!$A$16:$A$25,A26)&lt;&gt;1),"ID未登録・重複",IF(OR(AND(I26&lt;&gt;"数量連動",I26&lt;&gt;"一式"),AND(A26="案件共通",I26&lt;&gt;"一式")),"数量の扱い確認",IF(OR(NOT(ISNUMBER(D26)),NOT(ISNUMBER(K26)),AND(B26&lt;&gt;"生産原価",E26=""),D26="",NOT(ISNUMBER(J26))),"数値を入力",IF(OR(D26&lt;0,K26&lt;0,J26&lt;=0),"負数・数量確認","OK"))))))</f>
      </c>
      <c r="I26" s="51"/>
      <c r="J26" s="2" t="str">
        <f>IF(A26="","",IF(I26="一式",1,IFERROR(INDEX('見積入力'!$D$16:$D$25,MATCH(A26,'見積入力'!$A$16:$A$25,0)),"ID未登録")))</f>
      </c>
      <c r="K26" s="24" t="str">
        <f>IF(A26="","",E26)</f>
      </c>
    </row>
    <row r="27" ht="30" customHeight="1">
      <c r="A27" s="51"/>
      <c r="B27" s="51"/>
      <c r="C27" s="51"/>
      <c r="D27" s="57"/>
      <c r="E27" s="57"/>
      <c r="F27" s="14" t="str">
        <f>IF(H27="OK",ROUND(D27*K27*J27,0),"")</f>
      </c>
      <c r="G27" s="54"/>
      <c r="H27" s="32" t="str">
        <f>IF(COUNTA(A27:E27)+COUNTA(G27)+COUNTA(I27)=0,"",IF(OR(A27="",B27="",C27="",I27=""),"必須欄不足",IF(AND(A27&lt;&gt;"案件共通",COUNTIFS('見積入力'!$A$16:$A$25,A27)&lt;&gt;1),"ID未登録・重複",IF(OR(AND(I27&lt;&gt;"数量連動",I27&lt;&gt;"一式"),AND(A27="案件共通",I27&lt;&gt;"一式")),"数量の扱い確認",IF(OR(NOT(ISNUMBER(D27)),NOT(ISNUMBER(K27)),AND(B27&lt;&gt;"生産原価",E27=""),D27="",NOT(ISNUMBER(J27))),"数値を入力",IF(OR(D27&lt;0,K27&lt;0,J27&lt;=0),"負数・数量確認","OK"))))))</f>
      </c>
      <c r="I27" s="51"/>
      <c r="J27" s="2" t="str">
        <f>IF(A27="","",IF(I27="一式",1,IFERROR(INDEX('見積入力'!$D$16:$D$25,MATCH(A27,'見積入力'!$A$16:$A$25,0)),"ID未登録")))</f>
      </c>
      <c r="K27" s="24" t="str">
        <f>IF(A27="","",E27)</f>
      </c>
    </row>
    <row r="28" ht="30" customHeight="1">
      <c r="A28" s="51"/>
      <c r="B28" s="51"/>
      <c r="C28" s="51"/>
      <c r="D28" s="57"/>
      <c r="E28" s="57"/>
      <c r="F28" s="14" t="str">
        <f>IF(H28="OK",ROUND(D28*K28*J28,0),"")</f>
      </c>
      <c r="G28" s="54"/>
      <c r="H28" s="32" t="str">
        <f>IF(COUNTA(A28:E28)+COUNTA(G28)+COUNTA(I28)=0,"",IF(OR(A28="",B28="",C28="",I28=""),"必須欄不足",IF(AND(A28&lt;&gt;"案件共通",COUNTIFS('見積入力'!$A$16:$A$25,A28)&lt;&gt;1),"ID未登録・重複",IF(OR(AND(I28&lt;&gt;"数量連動",I28&lt;&gt;"一式"),AND(A28="案件共通",I28&lt;&gt;"一式")),"数量の扱い確認",IF(OR(NOT(ISNUMBER(D28)),NOT(ISNUMBER(K28)),AND(B28&lt;&gt;"生産原価",E28=""),D28="",NOT(ISNUMBER(J28))),"数値を入力",IF(OR(D28&lt;0,K28&lt;0,J28&lt;=0),"負数・数量確認","OK"))))))</f>
      </c>
      <c r="I28" s="51"/>
      <c r="J28" s="2" t="str">
        <f>IF(A28="","",IF(I28="一式",1,IFERROR(INDEX('見積入力'!$D$16:$D$25,MATCH(A28,'見積入力'!$A$16:$A$25,0)),"ID未登録")))</f>
      </c>
      <c r="K28" s="24" t="str">
        <f>IF(A28="","",E28)</f>
      </c>
    </row>
    <row r="29" ht="30" customHeight="1">
      <c r="A29" s="51"/>
      <c r="B29" s="51"/>
      <c r="C29" s="51"/>
      <c r="D29" s="57"/>
      <c r="E29" s="57"/>
      <c r="F29" s="14" t="str">
        <f>IF(H29="OK",ROUND(D29*K29*J29,0),"")</f>
      </c>
      <c r="G29" s="54"/>
      <c r="H29" s="32" t="str">
        <f>IF(COUNTA(A29:E29)+COUNTA(G29)+COUNTA(I29)=0,"",IF(OR(A29="",B29="",C29="",I29=""),"必須欄不足",IF(AND(A29&lt;&gt;"案件共通",COUNTIFS('見積入力'!$A$16:$A$25,A29)&lt;&gt;1),"ID未登録・重複",IF(OR(AND(I29&lt;&gt;"数量連動",I29&lt;&gt;"一式"),AND(A29="案件共通",I29&lt;&gt;"一式")),"数量の扱い確認",IF(OR(NOT(ISNUMBER(D29)),NOT(ISNUMBER(K29)),AND(B29&lt;&gt;"生産原価",E29=""),D29="",NOT(ISNUMBER(J29))),"数値を入力",IF(OR(D29&lt;0,K29&lt;0,J29&lt;=0),"負数・数量確認","OK"))))))</f>
      </c>
      <c r="I29" s="51"/>
      <c r="J29" s="2" t="str">
        <f>IF(A29="","",IF(I29="一式",1,IFERROR(INDEX('見積入力'!$D$16:$D$25,MATCH(A29,'見積入力'!$A$16:$A$25,0)),"ID未登録")))</f>
      </c>
      <c r="K29" s="24" t="str">
        <f>IF(A29="","",E29)</f>
      </c>
    </row>
    <row r="30" ht="30" customHeight="1">
      <c r="A30" s="51"/>
      <c r="B30" s="51"/>
      <c r="C30" s="51"/>
      <c r="D30" s="57"/>
      <c r="E30" s="57"/>
      <c r="F30" s="14" t="str">
        <f>IF(H30="OK",ROUND(D30*K30*J30,0),"")</f>
      </c>
      <c r="G30" s="54"/>
      <c r="H30" s="32" t="str">
        <f>IF(COUNTA(A30:E30)+COUNTA(G30)+COUNTA(I30)=0,"",IF(OR(A30="",B30="",C30="",I30=""),"必須欄不足",IF(AND(A30&lt;&gt;"案件共通",COUNTIFS('見積入力'!$A$16:$A$25,A30)&lt;&gt;1),"ID未登録・重複",IF(OR(AND(I30&lt;&gt;"数量連動",I30&lt;&gt;"一式"),AND(A30="案件共通",I30&lt;&gt;"一式")),"数量の扱い確認",IF(OR(NOT(ISNUMBER(D30)),NOT(ISNUMBER(K30)),AND(B30&lt;&gt;"生産原価",E30=""),D30="",NOT(ISNUMBER(J30))),"数値を入力",IF(OR(D30&lt;0,K30&lt;0,J30&lt;=0),"負数・数量確認","OK"))))))</f>
      </c>
      <c r="I30" s="51"/>
      <c r="J30" s="2" t="str">
        <f>IF(A30="","",IF(I30="一式",1,IFERROR(INDEX('見積入力'!$D$16:$D$25,MATCH(A30,'見積入力'!$A$16:$A$25,0)),"ID未登録")))</f>
      </c>
      <c r="K30" s="24" t="str">
        <f>IF(A30="","",E30)</f>
      </c>
    </row>
    <row r="31" ht="30" customHeight="1">
      <c r="A31" s="51"/>
      <c r="B31" s="51"/>
      <c r="C31" s="51"/>
      <c r="D31" s="57"/>
      <c r="E31" s="57"/>
      <c r="F31" s="14" t="str">
        <f>IF(H31="OK",ROUND(D31*K31*J31,0),"")</f>
      </c>
      <c r="G31" s="54"/>
      <c r="H31" s="32" t="str">
        <f>IF(COUNTA(A31:E31)+COUNTA(G31)+COUNTA(I31)=0,"",IF(OR(A31="",B31="",C31="",I31=""),"必須欄不足",IF(AND(A31&lt;&gt;"案件共通",COUNTIFS('見積入力'!$A$16:$A$25,A31)&lt;&gt;1),"ID未登録・重複",IF(OR(AND(I31&lt;&gt;"数量連動",I31&lt;&gt;"一式"),AND(A31="案件共通",I31&lt;&gt;"一式")),"数量の扱い確認",IF(OR(NOT(ISNUMBER(D31)),NOT(ISNUMBER(K31)),AND(B31&lt;&gt;"生産原価",E31=""),D31="",NOT(ISNUMBER(J31))),"数値を入力",IF(OR(D31&lt;0,K31&lt;0,J31&lt;=0),"負数・数量確認","OK"))))))</f>
      </c>
      <c r="I31" s="51"/>
      <c r="J31" s="2" t="str">
        <f>IF(A31="","",IF(I31="一式",1,IFERROR(INDEX('見積入力'!$D$16:$D$25,MATCH(A31,'見積入力'!$A$16:$A$25,0)),"ID未登録")))</f>
      </c>
      <c r="K31" s="24" t="str">
        <f>IF(A31="","",E31)</f>
      </c>
    </row>
    <row r="32" ht="30" customHeight="1">
      <c r="A32" s="51"/>
      <c r="B32" s="51"/>
      <c r="C32" s="51"/>
      <c r="D32" s="57"/>
      <c r="E32" s="57"/>
      <c r="F32" s="14" t="str">
        <f>IF(H32="OK",ROUND(D32*K32*J32,0),"")</f>
      </c>
      <c r="G32" s="54"/>
      <c r="H32" s="32" t="str">
        <f>IF(COUNTA(A32:E32)+COUNTA(G32)+COUNTA(I32)=0,"",IF(OR(A32="",B32="",C32="",I32=""),"必須欄不足",IF(AND(A32&lt;&gt;"案件共通",COUNTIFS('見積入力'!$A$16:$A$25,A32)&lt;&gt;1),"ID未登録・重複",IF(OR(AND(I32&lt;&gt;"数量連動",I32&lt;&gt;"一式"),AND(A32="案件共通",I32&lt;&gt;"一式")),"数量の扱い確認",IF(OR(NOT(ISNUMBER(D32)),NOT(ISNUMBER(K32)),AND(B32&lt;&gt;"生産原価",E32=""),D32="",NOT(ISNUMBER(J32))),"数値を入力",IF(OR(D32&lt;0,K32&lt;0,J32&lt;=0),"負数・数量確認","OK"))))))</f>
      </c>
      <c r="I32" s="51"/>
      <c r="J32" s="2" t="str">
        <f>IF(A32="","",IF(I32="一式",1,IFERROR(INDEX('見積入力'!$D$16:$D$25,MATCH(A32,'見積入力'!$A$16:$A$25,0)),"ID未登録")))</f>
      </c>
      <c r="K32" s="24" t="str">
        <f>IF(A32="","",E32)</f>
      </c>
    </row>
    <row r="33" ht="30" customHeight="1">
      <c r="A33" s="51"/>
      <c r="B33" s="51"/>
      <c r="C33" s="51"/>
      <c r="D33" s="57"/>
      <c r="E33" s="57"/>
      <c r="F33" s="14" t="str">
        <f>IF(H33="OK",ROUND(D33*K33*J33,0),"")</f>
      </c>
      <c r="G33" s="54"/>
      <c r="H33" s="32" t="str">
        <f>IF(COUNTA(A33:E33)+COUNTA(G33)+COUNTA(I33)=0,"",IF(OR(A33="",B33="",C33="",I33=""),"必須欄不足",IF(AND(A33&lt;&gt;"案件共通",COUNTIFS('見積入力'!$A$16:$A$25,A33)&lt;&gt;1),"ID未登録・重複",IF(OR(AND(I33&lt;&gt;"数量連動",I33&lt;&gt;"一式"),AND(A33="案件共通",I33&lt;&gt;"一式")),"数量の扱い確認",IF(OR(NOT(ISNUMBER(D33)),NOT(ISNUMBER(K33)),AND(B33&lt;&gt;"生産原価",E33=""),D33="",NOT(ISNUMBER(J33))),"数値を入力",IF(OR(D33&lt;0,K33&lt;0,J33&lt;=0),"負数・数量確認","OK"))))))</f>
      </c>
      <c r="I33" s="51"/>
      <c r="J33" s="2" t="str">
        <f>IF(A33="","",IF(I33="一式",1,IFERROR(INDEX('見積入力'!$D$16:$D$25,MATCH(A33,'見積入力'!$A$16:$A$25,0)),"ID未登録")))</f>
      </c>
      <c r="K33" s="24" t="str">
        <f>IF(A33="","",E33)</f>
      </c>
    </row>
    <row r="34" ht="30" customHeight="1">
      <c r="A34" s="51"/>
      <c r="B34" s="51"/>
      <c r="C34" s="51"/>
      <c r="D34" s="57"/>
      <c r="E34" s="57"/>
      <c r="F34" s="14" t="str">
        <f>IF(H34="OK",ROUND(D34*K34*J34,0),"")</f>
      </c>
      <c r="G34" s="54"/>
      <c r="H34" s="32" t="str">
        <f>IF(COUNTA(A34:E34)+COUNTA(G34)+COUNTA(I34)=0,"",IF(OR(A34="",B34="",C34="",I34=""),"必須欄不足",IF(AND(A34&lt;&gt;"案件共通",COUNTIFS('見積入力'!$A$16:$A$25,A34)&lt;&gt;1),"ID未登録・重複",IF(OR(AND(I34&lt;&gt;"数量連動",I34&lt;&gt;"一式"),AND(A34="案件共通",I34&lt;&gt;"一式")),"数量の扱い確認",IF(OR(NOT(ISNUMBER(D34)),NOT(ISNUMBER(K34)),AND(B34&lt;&gt;"生産原価",E34=""),D34="",NOT(ISNUMBER(J34))),"数値を入力",IF(OR(D34&lt;0,K34&lt;0,J34&lt;=0),"負数・数量確認","OK"))))))</f>
      </c>
      <c r="I34" s="51"/>
      <c r="J34" s="2" t="str">
        <f>IF(A34="","",IF(I34="一式",1,IFERROR(INDEX('見積入力'!$D$16:$D$25,MATCH(A34,'見積入力'!$A$16:$A$25,0)),"ID未登録")))</f>
      </c>
      <c r="K34" s="24" t="str">
        <f>IF(A34="","",E34)</f>
      </c>
    </row>
    <row r="35" ht="30" customHeight="1">
      <c r="A35" s="51"/>
      <c r="B35" s="51"/>
      <c r="C35" s="51"/>
      <c r="D35" s="57"/>
      <c r="E35" s="57"/>
      <c r="F35" s="14" t="str">
        <f>IF(H35="OK",ROUND(D35*K35*J35,0),"")</f>
      </c>
      <c r="G35" s="54"/>
      <c r="H35" s="32" t="str">
        <f>IF(COUNTA(A35:E35)+COUNTA(G35)+COUNTA(I35)=0,"",IF(OR(A35="",B35="",C35="",I35=""),"必須欄不足",IF(AND(A35&lt;&gt;"案件共通",COUNTIFS('見積入力'!$A$16:$A$25,A35)&lt;&gt;1),"ID未登録・重複",IF(OR(AND(I35&lt;&gt;"数量連動",I35&lt;&gt;"一式"),AND(A35="案件共通",I35&lt;&gt;"一式")),"数量の扱い確認",IF(OR(NOT(ISNUMBER(D35)),NOT(ISNUMBER(K35)),AND(B35&lt;&gt;"生産原価",E35=""),D35="",NOT(ISNUMBER(J35))),"数値を入力",IF(OR(D35&lt;0,K35&lt;0,J35&lt;=0),"負数・数量確認","OK"))))))</f>
      </c>
      <c r="I35" s="51"/>
      <c r="J35" s="2" t="str">
        <f>IF(A35="","",IF(I35="一式",1,IFERROR(INDEX('見積入力'!$D$16:$D$25,MATCH(A35,'見積入力'!$A$16:$A$25,0)),"ID未登録")))</f>
      </c>
      <c r="K35" s="24" t="str">
        <f>IF(A35="","",E35)</f>
      </c>
    </row>
    <row r="36" ht="30" customHeight="1">
      <c r="A36" s="51"/>
      <c r="B36" s="51"/>
      <c r="C36" s="51"/>
      <c r="D36" s="57"/>
      <c r="E36" s="57"/>
      <c r="F36" s="14" t="str">
        <f>IF(H36="OK",ROUND(D36*K36*J36,0),"")</f>
      </c>
      <c r="G36" s="54"/>
      <c r="H36" s="32" t="str">
        <f>IF(COUNTA(A36:E36)+COUNTA(G36)+COUNTA(I36)=0,"",IF(OR(A36="",B36="",C36="",I36=""),"必須欄不足",IF(AND(A36&lt;&gt;"案件共通",COUNTIFS('見積入力'!$A$16:$A$25,A36)&lt;&gt;1),"ID未登録・重複",IF(OR(AND(I36&lt;&gt;"数量連動",I36&lt;&gt;"一式"),AND(A36="案件共通",I36&lt;&gt;"一式")),"数量の扱い確認",IF(OR(NOT(ISNUMBER(D36)),NOT(ISNUMBER(K36)),AND(B36&lt;&gt;"生産原価",E36=""),D36="",NOT(ISNUMBER(J36))),"数値を入力",IF(OR(D36&lt;0,K36&lt;0,J36&lt;=0),"負数・数量確認","OK"))))))</f>
      </c>
      <c r="I36" s="51"/>
      <c r="J36" s="2" t="str">
        <f>IF(A36="","",IF(I36="一式",1,IFERROR(INDEX('見積入力'!$D$16:$D$25,MATCH(A36,'見積入力'!$A$16:$A$25,0)),"ID未登録")))</f>
      </c>
      <c r="K36" s="24" t="str">
        <f>IF(A36="","",E36)</f>
      </c>
    </row>
    <row r="37" ht="30" customHeight="1">
      <c r="A37" s="51"/>
      <c r="B37" s="51"/>
      <c r="C37" s="51"/>
      <c r="D37" s="57"/>
      <c r="E37" s="57"/>
      <c r="F37" s="14" t="str">
        <f>IF(H37="OK",ROUND(D37*K37*J37,0),"")</f>
      </c>
      <c r="G37" s="54"/>
      <c r="H37" s="32" t="str">
        <f>IF(COUNTA(A37:E37)+COUNTA(G37)+COUNTA(I37)=0,"",IF(OR(A37="",B37="",C37="",I37=""),"必須欄不足",IF(AND(A37&lt;&gt;"案件共通",COUNTIFS('見積入力'!$A$16:$A$25,A37)&lt;&gt;1),"ID未登録・重複",IF(OR(AND(I37&lt;&gt;"数量連動",I37&lt;&gt;"一式"),AND(A37="案件共通",I37&lt;&gt;"一式")),"数量の扱い確認",IF(OR(NOT(ISNUMBER(D37)),NOT(ISNUMBER(K37)),AND(B37&lt;&gt;"生産原価",E37=""),D37="",NOT(ISNUMBER(J37))),"数値を入力",IF(OR(D37&lt;0,K37&lt;0,J37&lt;=0),"負数・数量確認","OK"))))))</f>
      </c>
      <c r="I37" s="51"/>
      <c r="J37" s="2" t="str">
        <f>IF(A37="","",IF(I37="一式",1,IFERROR(INDEX('見積入力'!$D$16:$D$25,MATCH(A37,'見積入力'!$A$16:$A$25,0)),"ID未登録")))</f>
      </c>
      <c r="K37" s="24" t="str">
        <f>IF(A37="","",E37)</f>
      </c>
    </row>
    <row r="38" ht="30" customHeight="1">
      <c r="A38" s="51"/>
      <c r="B38" s="51"/>
      <c r="C38" s="51"/>
      <c r="D38" s="57"/>
      <c r="E38" s="57"/>
      <c r="F38" s="14" t="str">
        <f>IF(H38="OK",ROUND(D38*K38*J38,0),"")</f>
      </c>
      <c r="G38" s="54"/>
      <c r="H38" s="32" t="str">
        <f>IF(COUNTA(A38:E38)+COUNTA(G38)+COUNTA(I38)=0,"",IF(OR(A38="",B38="",C38="",I38=""),"必須欄不足",IF(AND(A38&lt;&gt;"案件共通",COUNTIFS('見積入力'!$A$16:$A$25,A38)&lt;&gt;1),"ID未登録・重複",IF(OR(AND(I38&lt;&gt;"数量連動",I38&lt;&gt;"一式"),AND(A38="案件共通",I38&lt;&gt;"一式")),"数量の扱い確認",IF(OR(NOT(ISNUMBER(D38)),NOT(ISNUMBER(K38)),AND(B38&lt;&gt;"生産原価",E38=""),D38="",NOT(ISNUMBER(J38))),"数値を入力",IF(OR(D38&lt;0,K38&lt;0,J38&lt;=0),"負数・数量確認","OK"))))))</f>
      </c>
      <c r="I38" s="51"/>
      <c r="J38" s="2" t="str">
        <f>IF(A38="","",IF(I38="一式",1,IFERROR(INDEX('見積入力'!$D$16:$D$25,MATCH(A38,'見積入力'!$A$16:$A$25,0)),"ID未登録")))</f>
      </c>
      <c r="K38" s="24" t="str">
        <f>IF(A38="","",E38)</f>
      </c>
    </row>
    <row r="39" ht="30" customHeight="1">
      <c r="A39" s="51"/>
      <c r="B39" s="51"/>
      <c r="C39" s="51"/>
      <c r="D39" s="57"/>
      <c r="E39" s="57"/>
      <c r="F39" s="14" t="str">
        <f>IF(H39="OK",ROUND(D39*K39*J39,0),"")</f>
      </c>
      <c r="G39" s="54"/>
      <c r="H39" s="32" t="str">
        <f>IF(COUNTA(A39:E39)+COUNTA(G39)+COUNTA(I39)=0,"",IF(OR(A39="",B39="",C39="",I39=""),"必須欄不足",IF(AND(A39&lt;&gt;"案件共通",COUNTIFS('見積入力'!$A$16:$A$25,A39)&lt;&gt;1),"ID未登録・重複",IF(OR(AND(I39&lt;&gt;"数量連動",I39&lt;&gt;"一式"),AND(A39="案件共通",I39&lt;&gt;"一式")),"数量の扱い確認",IF(OR(NOT(ISNUMBER(D39)),NOT(ISNUMBER(K39)),AND(B39&lt;&gt;"生産原価",E39=""),D39="",NOT(ISNUMBER(J39))),"数値を入力",IF(OR(D39&lt;0,K39&lt;0,J39&lt;=0),"負数・数量確認","OK"))))))</f>
      </c>
      <c r="I39" s="51"/>
      <c r="J39" s="2" t="str">
        <f>IF(A39="","",IF(I39="一式",1,IFERROR(INDEX('見積入力'!$D$16:$D$25,MATCH(A39,'見積入力'!$A$16:$A$25,0)),"ID未登録")))</f>
      </c>
      <c r="K39" s="24" t="str">
        <f>IF(A39="","",E39)</f>
      </c>
    </row>
    <row r="40" ht="30" customHeight="1">
      <c r="A40" s="51"/>
      <c r="B40" s="51"/>
      <c r="C40" s="51"/>
      <c r="D40" s="57"/>
      <c r="E40" s="57"/>
      <c r="F40" s="14" t="str">
        <f>IF(H40="OK",ROUND(D40*K40*J40,0),"")</f>
      </c>
      <c r="G40" s="54"/>
      <c r="H40" s="32" t="str">
        <f>IF(COUNTA(A40:E40)+COUNTA(G40)+COUNTA(I40)=0,"",IF(OR(A40="",B40="",C40="",I40=""),"必須欄不足",IF(AND(A40&lt;&gt;"案件共通",COUNTIFS('見積入力'!$A$16:$A$25,A40)&lt;&gt;1),"ID未登録・重複",IF(OR(AND(I40&lt;&gt;"数量連動",I40&lt;&gt;"一式"),AND(A40="案件共通",I40&lt;&gt;"一式")),"数量の扱い確認",IF(OR(NOT(ISNUMBER(D40)),NOT(ISNUMBER(K40)),AND(B40&lt;&gt;"生産原価",E40=""),D40="",NOT(ISNUMBER(J40))),"数値を入力",IF(OR(D40&lt;0,K40&lt;0,J40&lt;=0),"負数・数量確認","OK"))))))</f>
      </c>
      <c r="I40" s="51"/>
      <c r="J40" s="2" t="str">
        <f>IF(A40="","",IF(I40="一式",1,IFERROR(INDEX('見積入力'!$D$16:$D$25,MATCH(A40,'見積入力'!$A$16:$A$25,0)),"ID未登録")))</f>
      </c>
      <c r="K40" s="24" t="str">
        <f>IF(A40="","",E40)</f>
      </c>
    </row>
    <row r="41" ht="30" customHeight="1">
      <c r="A41" s="51"/>
      <c r="B41" s="51"/>
      <c r="C41" s="51"/>
      <c r="D41" s="57"/>
      <c r="E41" s="57"/>
      <c r="F41" s="14" t="str">
        <f>IF(H41="OK",ROUND(D41*K41*J41,0),"")</f>
      </c>
      <c r="G41" s="54"/>
      <c r="H41" s="32" t="str">
        <f>IF(COUNTA(A41:E41)+COUNTA(G41)+COUNTA(I41)=0,"",IF(OR(A41="",B41="",C41="",I41=""),"必須欄不足",IF(AND(A41&lt;&gt;"案件共通",COUNTIFS('見積入力'!$A$16:$A$25,A41)&lt;&gt;1),"ID未登録・重複",IF(OR(AND(I41&lt;&gt;"数量連動",I41&lt;&gt;"一式"),AND(A41="案件共通",I41&lt;&gt;"一式")),"数量の扱い確認",IF(OR(NOT(ISNUMBER(D41)),NOT(ISNUMBER(K41)),AND(B41&lt;&gt;"生産原価",E41=""),D41="",NOT(ISNUMBER(J41))),"数値を入力",IF(OR(D41&lt;0,K41&lt;0,J41&lt;=0),"負数・数量確認","OK"))))))</f>
      </c>
      <c r="I41" s="51"/>
      <c r="J41" s="2" t="str">
        <f>IF(A41="","",IF(I41="一式",1,IFERROR(INDEX('見積入力'!$D$16:$D$25,MATCH(A41,'見積入力'!$A$16:$A$25,0)),"ID未登録")))</f>
      </c>
      <c r="K41" s="24" t="str">
        <f>IF(A41="","",E41)</f>
      </c>
    </row>
    <row r="42" ht="30" customHeight="1">
      <c r="A42" s="51"/>
      <c r="B42" s="51"/>
      <c r="C42" s="51"/>
      <c r="D42" s="57"/>
      <c r="E42" s="57"/>
      <c r="F42" s="14" t="str">
        <f>IF(H42="OK",ROUND(D42*K42*J42,0),"")</f>
      </c>
      <c r="G42" s="54"/>
      <c r="H42" s="32" t="str">
        <f>IF(COUNTA(A42:E42)+COUNTA(G42)+COUNTA(I42)=0,"",IF(OR(A42="",B42="",C42="",I42=""),"必須欄不足",IF(AND(A42&lt;&gt;"案件共通",COUNTIFS('見積入力'!$A$16:$A$25,A42)&lt;&gt;1),"ID未登録・重複",IF(OR(AND(I42&lt;&gt;"数量連動",I42&lt;&gt;"一式"),AND(A42="案件共通",I42&lt;&gt;"一式")),"数量の扱い確認",IF(OR(NOT(ISNUMBER(D42)),NOT(ISNUMBER(K42)),AND(B42&lt;&gt;"生産原価",E42=""),D42="",NOT(ISNUMBER(J42))),"数値を入力",IF(OR(D42&lt;0,K42&lt;0,J42&lt;=0),"負数・数量確認","OK"))))))</f>
      </c>
      <c r="I42" s="51"/>
      <c r="J42" s="2" t="str">
        <f>IF(A42="","",IF(I42="一式",1,IFERROR(INDEX('見積入力'!$D$16:$D$25,MATCH(A42,'見積入力'!$A$16:$A$25,0)),"ID未登録")))</f>
      </c>
      <c r="K42" s="24" t="str">
        <f>IF(A42="","",E42)</f>
      </c>
    </row>
    <row r="43" ht="30" customHeight="1">
      <c r="A43" s="51"/>
      <c r="B43" s="51"/>
      <c r="C43" s="51"/>
      <c r="D43" s="57"/>
      <c r="E43" s="57"/>
      <c r="F43" s="14" t="str">
        <f>IF(H43="OK",ROUND(D43*K43*J43,0),"")</f>
      </c>
      <c r="G43" s="54"/>
      <c r="H43" s="32" t="str">
        <f>IF(COUNTA(A43:E43)+COUNTA(G43)+COUNTA(I43)=0,"",IF(OR(A43="",B43="",C43="",I43=""),"必須欄不足",IF(AND(A43&lt;&gt;"案件共通",COUNTIFS('見積入力'!$A$16:$A$25,A43)&lt;&gt;1),"ID未登録・重複",IF(OR(AND(I43&lt;&gt;"数量連動",I43&lt;&gt;"一式"),AND(A43="案件共通",I43&lt;&gt;"一式")),"数量の扱い確認",IF(OR(NOT(ISNUMBER(D43)),NOT(ISNUMBER(K43)),AND(B43&lt;&gt;"生産原価",E43=""),D43="",NOT(ISNUMBER(J43))),"数値を入力",IF(OR(D43&lt;0,K43&lt;0,J43&lt;=0),"負数・数量確認","OK"))))))</f>
      </c>
      <c r="I43" s="51"/>
      <c r="J43" s="2" t="str">
        <f>IF(A43="","",IF(I43="一式",1,IFERROR(INDEX('見積入力'!$D$16:$D$25,MATCH(A43,'見積入力'!$A$16:$A$25,0)),"ID未登録")))</f>
      </c>
      <c r="K43" s="24" t="str">
        <f>IF(A43="","",E43)</f>
      </c>
    </row>
    <row r="44" ht="30" customHeight="1">
      <c r="A44" s="51"/>
      <c r="B44" s="51"/>
      <c r="C44" s="51"/>
      <c r="D44" s="57"/>
      <c r="E44" s="57"/>
      <c r="F44" s="14" t="str">
        <f>IF(H44="OK",ROUND(D44*K44*J44,0),"")</f>
      </c>
      <c r="G44" s="54"/>
      <c r="H44" s="32" t="str">
        <f>IF(COUNTA(A44:E44)+COUNTA(G44)+COUNTA(I44)=0,"",IF(OR(A44="",B44="",C44="",I44=""),"必須欄不足",IF(AND(A44&lt;&gt;"案件共通",COUNTIFS('見積入力'!$A$16:$A$25,A44)&lt;&gt;1),"ID未登録・重複",IF(OR(AND(I44&lt;&gt;"数量連動",I44&lt;&gt;"一式"),AND(A44="案件共通",I44&lt;&gt;"一式")),"数量の扱い確認",IF(OR(NOT(ISNUMBER(D44)),NOT(ISNUMBER(K44)),AND(B44&lt;&gt;"生産原価",E44=""),D44="",NOT(ISNUMBER(J44))),"数値を入力",IF(OR(D44&lt;0,K44&lt;0,J44&lt;=0),"負数・数量確認","OK"))))))</f>
      </c>
      <c r="I44" s="51"/>
      <c r="J44" s="2" t="str">
        <f>IF(A44="","",IF(I44="一式",1,IFERROR(INDEX('見積入力'!$D$16:$D$25,MATCH(A44,'見積入力'!$A$16:$A$25,0)),"ID未登録")))</f>
      </c>
      <c r="K44" s="24" t="str">
        <f>IF(A44="","",E44)</f>
      </c>
    </row>
    <row r="45" ht="30" customHeight="1">
      <c r="A45" s="51"/>
      <c r="B45" s="51"/>
      <c r="C45" s="51"/>
      <c r="D45" s="57"/>
      <c r="E45" s="57"/>
      <c r="F45" s="14" t="str">
        <f>IF(H45="OK",ROUND(D45*K45*J45,0),"")</f>
      </c>
      <c r="G45" s="54"/>
      <c r="H45" s="32" t="str">
        <f>IF(COUNTA(A45:E45)+COUNTA(G45)+COUNTA(I45)=0,"",IF(OR(A45="",B45="",C45="",I45=""),"必須欄不足",IF(AND(A45&lt;&gt;"案件共通",COUNTIFS('見積入力'!$A$16:$A$25,A45)&lt;&gt;1),"ID未登録・重複",IF(OR(AND(I45&lt;&gt;"数量連動",I45&lt;&gt;"一式"),AND(A45="案件共通",I45&lt;&gt;"一式")),"数量の扱い確認",IF(OR(NOT(ISNUMBER(D45)),NOT(ISNUMBER(K45)),AND(B45&lt;&gt;"生産原価",E45=""),D45="",NOT(ISNUMBER(J45))),"数値を入力",IF(OR(D45&lt;0,K45&lt;0,J45&lt;=0),"負数・数量確認","OK"))))))</f>
      </c>
      <c r="I45" s="51"/>
      <c r="J45" s="2" t="str">
        <f>IF(A45="","",IF(I45="一式",1,IFERROR(INDEX('見積入力'!$D$16:$D$25,MATCH(A45,'見積入力'!$A$16:$A$25,0)),"ID未登録")))</f>
      </c>
      <c r="K45" s="24" t="str">
        <f>IF(A45="","",E45)</f>
      </c>
    </row>
    <row r="46" ht="30" customHeight="1">
      <c r="A46" s="51"/>
      <c r="B46" s="51"/>
      <c r="C46" s="51"/>
      <c r="D46" s="57"/>
      <c r="E46" s="57"/>
      <c r="F46" s="14" t="str">
        <f>IF(H46="OK",ROUND(D46*K46*J46,0),"")</f>
      </c>
      <c r="G46" s="54"/>
      <c r="H46" s="32" t="str">
        <f>IF(COUNTA(A46:E46)+COUNTA(G46)+COUNTA(I46)=0,"",IF(OR(A46="",B46="",C46="",I46=""),"必須欄不足",IF(AND(A46&lt;&gt;"案件共通",COUNTIFS('見積入力'!$A$16:$A$25,A46)&lt;&gt;1),"ID未登録・重複",IF(OR(AND(I46&lt;&gt;"数量連動",I46&lt;&gt;"一式"),AND(A46="案件共通",I46&lt;&gt;"一式")),"数量の扱い確認",IF(OR(NOT(ISNUMBER(D46)),NOT(ISNUMBER(K46)),AND(B46&lt;&gt;"生産原価",E46=""),D46="",NOT(ISNUMBER(J46))),"数値を入力",IF(OR(D46&lt;0,K46&lt;0,J46&lt;=0),"負数・数量確認","OK"))))))</f>
      </c>
      <c r="I46" s="51"/>
      <c r="J46" s="2" t="str">
        <f>IF(A46="","",IF(I46="一式",1,IFERROR(INDEX('見積入力'!$D$16:$D$25,MATCH(A46,'見積入力'!$A$16:$A$25,0)),"ID未登録")))</f>
      </c>
      <c r="K46" s="24" t="str">
        <f>IF(A46="","",E46)</f>
      </c>
    </row>
    <row r="47" ht="30" customHeight="1">
      <c r="A47" s="51"/>
      <c r="B47" s="51"/>
      <c r="C47" s="51"/>
      <c r="D47" s="57"/>
      <c r="E47" s="57"/>
      <c r="F47" s="14" t="str">
        <f>IF(H47="OK",ROUND(D47*K47*J47,0),"")</f>
      </c>
      <c r="G47" s="54"/>
      <c r="H47" s="32" t="str">
        <f>IF(COUNTA(A47:E47)+COUNTA(G47)+COUNTA(I47)=0,"",IF(OR(A47="",B47="",C47="",I47=""),"必須欄不足",IF(AND(A47&lt;&gt;"案件共通",COUNTIFS('見積入力'!$A$16:$A$25,A47)&lt;&gt;1),"ID未登録・重複",IF(OR(AND(I47&lt;&gt;"数量連動",I47&lt;&gt;"一式"),AND(A47="案件共通",I47&lt;&gt;"一式")),"数量の扱い確認",IF(OR(NOT(ISNUMBER(D47)),NOT(ISNUMBER(K47)),AND(B47&lt;&gt;"生産原価",E47=""),D47="",NOT(ISNUMBER(J47))),"数値を入力",IF(OR(D47&lt;0,K47&lt;0,J47&lt;=0),"負数・数量確認","OK"))))))</f>
      </c>
      <c r="I47" s="51"/>
      <c r="J47" s="2" t="str">
        <f>IF(A47="","",IF(I47="一式",1,IFERROR(INDEX('見積入力'!$D$16:$D$25,MATCH(A47,'見積入力'!$A$16:$A$25,0)),"ID未登録")))</f>
      </c>
      <c r="K47" s="24" t="str">
        <f>IF(A47="","",E47)</f>
      </c>
    </row>
    <row r="48" ht="30" customHeight="1">
      <c r="A48" s="51"/>
      <c r="B48" s="51"/>
      <c r="C48" s="51"/>
      <c r="D48" s="57"/>
      <c r="E48" s="57"/>
      <c r="F48" s="14" t="str">
        <f>IF(H48="OK",ROUND(D48*K48*J48,0),"")</f>
      </c>
      <c r="G48" s="54"/>
      <c r="H48" s="32" t="str">
        <f>IF(COUNTA(A48:E48)+COUNTA(G48)+COUNTA(I48)=0,"",IF(OR(A48="",B48="",C48="",I48=""),"必須欄不足",IF(AND(A48&lt;&gt;"案件共通",COUNTIFS('見積入力'!$A$16:$A$25,A48)&lt;&gt;1),"ID未登録・重複",IF(OR(AND(I48&lt;&gt;"数量連動",I48&lt;&gt;"一式"),AND(A48="案件共通",I48&lt;&gt;"一式")),"数量の扱い確認",IF(OR(NOT(ISNUMBER(D48)),NOT(ISNUMBER(K48)),AND(B48&lt;&gt;"生産原価",E48=""),D48="",NOT(ISNUMBER(J48))),"数値を入力",IF(OR(D48&lt;0,K48&lt;0,J48&lt;=0),"負数・数量確認","OK"))))))</f>
      </c>
      <c r="I48" s="51"/>
      <c r="J48" s="2" t="str">
        <f>IF(A48="","",IF(I48="一式",1,IFERROR(INDEX('見積入力'!$D$16:$D$25,MATCH(A48,'見積入力'!$A$16:$A$25,0)),"ID未登録")))</f>
      </c>
      <c r="K48" s="24" t="str">
        <f>IF(A48="","",E48)</f>
      </c>
    </row>
    <row r="49" ht="30" customHeight="1">
      <c r="A49" s="51"/>
      <c r="B49" s="51"/>
      <c r="C49" s="51"/>
      <c r="D49" s="57"/>
      <c r="E49" s="57"/>
      <c r="F49" s="14" t="str">
        <f>IF(H49="OK",ROUND(D49*K49*J49,0),"")</f>
      </c>
      <c r="G49" s="54"/>
      <c r="H49" s="32" t="str">
        <f>IF(COUNTA(A49:E49)+COUNTA(G49)+COUNTA(I49)=0,"",IF(OR(A49="",B49="",C49="",I49=""),"必須欄不足",IF(AND(A49&lt;&gt;"案件共通",COUNTIFS('見積入力'!$A$16:$A$25,A49)&lt;&gt;1),"ID未登録・重複",IF(OR(AND(I49&lt;&gt;"数量連動",I49&lt;&gt;"一式"),AND(A49="案件共通",I49&lt;&gt;"一式")),"数量の扱い確認",IF(OR(NOT(ISNUMBER(D49)),NOT(ISNUMBER(K49)),AND(B49&lt;&gt;"生産原価",E49=""),D49="",NOT(ISNUMBER(J49))),"数値を入力",IF(OR(D49&lt;0,K49&lt;0,J49&lt;=0),"負数・数量確認","OK"))))))</f>
      </c>
      <c r="I49" s="51"/>
      <c r="J49" s="2" t="str">
        <f>IF(A49="","",IF(I49="一式",1,IFERROR(INDEX('見積入力'!$D$16:$D$25,MATCH(A49,'見積入力'!$A$16:$A$25,0)),"ID未登録")))</f>
      </c>
      <c r="K49" s="24" t="str">
        <f>IF(A49="","",E49)</f>
      </c>
    </row>
    <row r="50" ht="30" customHeight="1">
      <c r="A50" s="51"/>
      <c r="B50" s="51"/>
      <c r="C50" s="51"/>
      <c r="D50" s="57"/>
      <c r="E50" s="57"/>
      <c r="F50" s="14" t="str">
        <f>IF(H50="OK",ROUND(D50*K50*J50,0),"")</f>
      </c>
      <c r="G50" s="54"/>
      <c r="H50" s="32" t="str">
        <f>IF(COUNTA(A50:E50)+COUNTA(G50)+COUNTA(I50)=0,"",IF(OR(A50="",B50="",C50="",I50=""),"必須欄不足",IF(AND(A50&lt;&gt;"案件共通",COUNTIFS('見積入力'!$A$16:$A$25,A50)&lt;&gt;1),"ID未登録・重複",IF(OR(AND(I50&lt;&gt;"数量連動",I50&lt;&gt;"一式"),AND(A50="案件共通",I50&lt;&gt;"一式")),"数量の扱い確認",IF(OR(NOT(ISNUMBER(D50)),NOT(ISNUMBER(K50)),AND(B50&lt;&gt;"生産原価",E50=""),D50="",NOT(ISNUMBER(J50))),"数値を入力",IF(OR(D50&lt;0,K50&lt;0,J50&lt;=0),"負数・数量確認","OK"))))))</f>
      </c>
      <c r="I50" s="51"/>
      <c r="J50" s="2" t="str">
        <f>IF(A50="","",IF(I50="一式",1,IFERROR(INDEX('見積入力'!$D$16:$D$25,MATCH(A50,'見積入力'!$A$16:$A$25,0)),"ID未登録")))</f>
      </c>
      <c r="K50" s="24" t="str">
        <f>IF(A50="","",E50)</f>
      </c>
    </row>
    <row r="51" ht="30" customHeight="1">
      <c r="A51" s="51"/>
      <c r="B51" s="51"/>
      <c r="C51" s="51"/>
      <c r="D51" s="57"/>
      <c r="E51" s="57"/>
      <c r="F51" s="14" t="str">
        <f>IF(H51="OK",ROUND(D51*K51*J51,0),"")</f>
      </c>
      <c r="G51" s="54"/>
      <c r="H51" s="32" t="str">
        <f>IF(COUNTA(A51:E51)+COUNTA(G51)+COUNTA(I51)=0,"",IF(OR(A51="",B51="",C51="",I51=""),"必須欄不足",IF(AND(A51&lt;&gt;"案件共通",COUNTIFS('見積入力'!$A$16:$A$25,A51)&lt;&gt;1),"ID未登録・重複",IF(OR(AND(I51&lt;&gt;"数量連動",I51&lt;&gt;"一式"),AND(A51="案件共通",I51&lt;&gt;"一式")),"数量の扱い確認",IF(OR(NOT(ISNUMBER(D51)),NOT(ISNUMBER(K51)),AND(B51&lt;&gt;"生産原価",E51=""),D51="",NOT(ISNUMBER(J51))),"数値を入力",IF(OR(D51&lt;0,K51&lt;0,J51&lt;=0),"負数・数量確認","OK"))))))</f>
      </c>
      <c r="I51" s="51"/>
      <c r="J51" s="2" t="str">
        <f>IF(A51="","",IF(I51="一式",1,IFERROR(INDEX('見積入力'!$D$16:$D$25,MATCH(A51,'見積入力'!$A$16:$A$25,0)),"ID未登録")))</f>
      </c>
      <c r="K51" s="24" t="str">
        <f>IF(A51="","",E51)</f>
      </c>
    </row>
    <row r="52" ht="30" customHeight="1">
      <c r="A52" s="51"/>
      <c r="B52" s="51"/>
      <c r="C52" s="51"/>
      <c r="D52" s="57"/>
      <c r="E52" s="57"/>
      <c r="F52" s="14" t="str">
        <f>IF(H52="OK",ROUND(D52*K52*J52,0),"")</f>
      </c>
      <c r="G52" s="54"/>
      <c r="H52" s="32" t="str">
        <f>IF(COUNTA(A52:E52)+COUNTA(G52)+COUNTA(I52)=0,"",IF(OR(A52="",B52="",C52="",I52=""),"必須欄不足",IF(AND(A52&lt;&gt;"案件共通",COUNTIFS('見積入力'!$A$16:$A$25,A52)&lt;&gt;1),"ID未登録・重複",IF(OR(AND(I52&lt;&gt;"数量連動",I52&lt;&gt;"一式"),AND(A52="案件共通",I52&lt;&gt;"一式")),"数量の扱い確認",IF(OR(NOT(ISNUMBER(D52)),NOT(ISNUMBER(K52)),AND(B52&lt;&gt;"生産原価",E52=""),D52="",NOT(ISNUMBER(J52))),"数値を入力",IF(OR(D52&lt;0,K52&lt;0,J52&lt;=0),"負数・数量確認","OK"))))))</f>
      </c>
      <c r="I52" s="51"/>
      <c r="J52" s="2" t="str">
        <f>IF(A52="","",IF(I52="一式",1,IFERROR(INDEX('見積入力'!$D$16:$D$25,MATCH(A52,'見積入力'!$A$16:$A$25,0)),"ID未登録")))</f>
      </c>
      <c r="K52" s="24" t="str">
        <f>IF(A52="","",E52)</f>
      </c>
    </row>
    <row r="53" ht="30" customHeight="1">
      <c r="A53" s="51"/>
      <c r="B53" s="51"/>
      <c r="C53" s="51"/>
      <c r="D53" s="57"/>
      <c r="E53" s="57"/>
      <c r="F53" s="14" t="str">
        <f>IF(H53="OK",ROUND(D53*K53*J53,0),"")</f>
      </c>
      <c r="G53" s="54"/>
      <c r="H53" s="32" t="str">
        <f>IF(COUNTA(A53:E53)+COUNTA(G53)+COUNTA(I53)=0,"",IF(OR(A53="",B53="",C53="",I53=""),"必須欄不足",IF(AND(A53&lt;&gt;"案件共通",COUNTIFS('見積入力'!$A$16:$A$25,A53)&lt;&gt;1),"ID未登録・重複",IF(OR(AND(I53&lt;&gt;"数量連動",I53&lt;&gt;"一式"),AND(A53="案件共通",I53&lt;&gt;"一式")),"数量の扱い確認",IF(OR(NOT(ISNUMBER(D53)),NOT(ISNUMBER(K53)),AND(B53&lt;&gt;"生産原価",E53=""),D53="",NOT(ISNUMBER(J53))),"数値を入力",IF(OR(D53&lt;0,K53&lt;0,J53&lt;=0),"負数・数量確認","OK"))))))</f>
      </c>
      <c r="I53" s="51"/>
      <c r="J53" s="2" t="str">
        <f>IF(A53="","",IF(I53="一式",1,IFERROR(INDEX('見積入力'!$D$16:$D$25,MATCH(A53,'見積入力'!$A$16:$A$25,0)),"ID未登録")))</f>
      </c>
      <c r="K53" s="24" t="str">
        <f>IF(A53="","",E53)</f>
      </c>
    </row>
    <row r="54" ht="30" customHeight="1">
      <c r="A54" s="51"/>
      <c r="B54" s="51"/>
      <c r="C54" s="51"/>
      <c r="D54" s="57"/>
      <c r="E54" s="57"/>
      <c r="F54" s="14" t="str">
        <f>IF(H54="OK",ROUND(D54*K54*J54,0),"")</f>
      </c>
      <c r="G54" s="54"/>
      <c r="H54" s="32" t="str">
        <f>IF(COUNTA(A54:E54)+COUNTA(G54)+COUNTA(I54)=0,"",IF(OR(A54="",B54="",C54="",I54=""),"必須欄不足",IF(AND(A54&lt;&gt;"案件共通",COUNTIFS('見積入力'!$A$16:$A$25,A54)&lt;&gt;1),"ID未登録・重複",IF(OR(AND(I54&lt;&gt;"数量連動",I54&lt;&gt;"一式"),AND(A54="案件共通",I54&lt;&gt;"一式")),"数量の扱い確認",IF(OR(NOT(ISNUMBER(D54)),NOT(ISNUMBER(K54)),AND(B54&lt;&gt;"生産原価",E54=""),D54="",NOT(ISNUMBER(J54))),"数値を入力",IF(OR(D54&lt;0,K54&lt;0,J54&lt;=0),"負数・数量確認","OK"))))))</f>
      </c>
      <c r="I54" s="51"/>
      <c r="J54" s="2" t="str">
        <f>IF(A54="","",IF(I54="一式",1,IFERROR(INDEX('見積入力'!$D$16:$D$25,MATCH(A54,'見積入力'!$A$16:$A$25,0)),"ID未登録")))</f>
      </c>
      <c r="K54" s="24" t="str">
        <f>IF(A54="","",E54)</f>
      </c>
    </row>
    <row r="55" ht="30" customHeight="1">
      <c r="A55" s="51"/>
      <c r="B55" s="51"/>
      <c r="C55" s="51"/>
      <c r="D55" s="57"/>
      <c r="E55" s="57"/>
      <c r="F55" s="14" t="str">
        <f>IF(H55="OK",ROUND(D55*K55*J55,0),"")</f>
      </c>
      <c r="G55" s="54"/>
      <c r="H55" s="32" t="str">
        <f>IF(COUNTA(A55:E55)+COUNTA(G55)+COUNTA(I55)=0,"",IF(OR(A55="",B55="",C55="",I55=""),"必須欄不足",IF(AND(A55&lt;&gt;"案件共通",COUNTIFS('見積入力'!$A$16:$A$25,A55)&lt;&gt;1),"ID未登録・重複",IF(OR(AND(I55&lt;&gt;"数量連動",I55&lt;&gt;"一式"),AND(A55="案件共通",I55&lt;&gt;"一式")),"数量の扱い確認",IF(OR(NOT(ISNUMBER(D55)),NOT(ISNUMBER(K55)),AND(B55&lt;&gt;"生産原価",E55=""),D55="",NOT(ISNUMBER(J55))),"数値を入力",IF(OR(D55&lt;0,K55&lt;0,J55&lt;=0),"負数・数量確認","OK"))))))</f>
      </c>
      <c r="I55" s="51"/>
      <c r="J55" s="2" t="str">
        <f>IF(A55="","",IF(I55="一式",1,IFERROR(INDEX('見積入力'!$D$16:$D$25,MATCH(A55,'見積入力'!$A$16:$A$25,0)),"ID未登録")))</f>
      </c>
      <c r="K55" s="24" t="str">
        <f>IF(A55="","",E55)</f>
      </c>
    </row>
    <row r="5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</sheetData>
  <mergeCells>
    <mergeCell ref="A2:J2"/>
    <mergeCell ref="D4:J4"/>
    <mergeCell ref="A6:J6"/>
    <mergeCell ref="A8:J8"/>
    <mergeCell ref="A13:J13"/>
  </mergeCells>
  <conditionalFormatting sqref="H16:H55">
    <cfRule type="expression" dxfId="1" priority="1">
      <formula>AND(H16&lt;&gt;"",H16&lt;&gt;"OK")</formula>
    </cfRule>
  </conditionalFormatting>
  <dataValidations count="4">
    <dataValidation type="list" sqref="B11" showErrorMessage="1" errorStyle="stop" errorTitle="入力値を確認" error="指定された範囲・選択肢で入力してください。">
      <formula1>"計上済み,単価に含む,今回は未算入"</formula1>
    </dataValidation>
    <dataValidation type="decimal" operator="between" sqref="D16:E55" showErrorMessage="1" errorStyle="stop" errorTitle="入力値を確認" error="指定された範囲・選択肢で入力してください。">
      <formula1>0</formula1>
      <formula2>1000000000000</formula2>
    </dataValidation>
    <dataValidation type="list" sqref="I16:I55" showErrorMessage="1" errorStyle="stop" errorTitle="入力値を確認" error="指定された範囲・選択肢で入力してください。">
      <formula1>"数量連動,一式"</formula1>
    </dataValidation>
    <dataValidation type="list" sqref="B16:B55" showErrorMessage="1" errorStyle="stop" errorTitle="入力値を確認" error="指定された範囲・選択肢で入力してください。">
      <formula1>"材料,作業,外注,配送,共通経費,生産原価,その他"</formula1>
    </dataValidation>
  </dataValidations>
  <pageMargins left="0.7" right="0.7" top="0.75" bottom="0.75" header="0.3" footer="0.3"/>
  <legacyDrawing r:id="R0b0d30d100c5441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7988A"/>
  </sheetPr>
  <sheetViews>
    <sheetView showGridLines="0" workbookViewId="0" zoomScale="80" zoomScaleNormal="100"/>
  </sheetViews>
  <sheetFormatPr defaultRowHeight="15"/>
  <cols>
    <col min="1" max="1" width="22" hidden="0" customWidth="1"/>
    <col min="2" max="2" width="21" hidden="0" customWidth="1"/>
    <col min="3" max="3" width="24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5" hidden="0" customWidth="1"/>
    <col min="12" max="12" width="18" hidden="0" customWidth="1"/>
    <col min="13" max="13" width="18" hidden="0" customWidth="1"/>
    <col min="14" max="14" width="1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7" t="str">
        <v>原価(農家)</v>
      </c>
      <c r="B2" s="37"/>
      <c r="C2" s="37"/>
      <c r="D2" s="37"/>
      <c r="E2" s="37"/>
      <c r="F2" s="37"/>
      <c r="G2" s="37"/>
      <c r="H2" s="37"/>
      <c r="I2" s="37"/>
      <c r="J2" s="37"/>
      <c r="K2" s="2"/>
    </row>
    <row r="3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4" customHeight="1">
      <c r="A4" s="2" t="str">
        <v>選択中の業種</v>
      </c>
      <c r="B4" s="2" t="str">
        <f>'採算シミュレーション'!B5</f>
        <v>木工所</v>
      </c>
      <c r="C4" s="2"/>
      <c r="D4" s="2" t="str">
        <f>IF(B4="農家","この原価を採算計算に使用中","この原価は現在の採算計算に使われていません")</f>
        <v>この原価は現在の採算計算に使われていません</v>
      </c>
      <c r="E4" s="2"/>
      <c r="F4" s="2"/>
      <c r="G4" s="2"/>
      <c r="H4" s="2"/>
      <c r="I4" s="2"/>
      <c r="J4" s="2"/>
      <c r="K4" s="2"/>
      <c r="L4" s="21" t="str">
        <v>COST-V1</v>
      </c>
      <c r="M4" s="21"/>
      <c r="N4" s="21"/>
    </row>
    <row r="5" ht="33" customHeight="1">
      <c r="A5" s="2" t="str">
        <v>作物・栽培期間</v>
      </c>
      <c r="B5" s="51" t="str">
        <v>サンプル野菜・1作期</v>
      </c>
      <c r="C5" s="2"/>
      <c r="D5" s="2"/>
      <c r="E5" s="32" t="str">
        <v>種苗・肥料・資材</v>
      </c>
      <c r="F5" s="55" t="n">
        <v>300000</v>
      </c>
      <c r="G5" s="2"/>
      <c r="H5" s="2"/>
      <c r="I5" s="2"/>
      <c r="J5" s="2"/>
      <c r="K5" s="2"/>
      <c r="L5" s="21" t="str">
        <v>原価入力状態</v>
      </c>
      <c r="M5" s="21" t="str">
        <f>IF(COUNTIFS(H16:H55,"OK")=0,"原価明細なし",IF(SUMPRODUCT((H16:H55&lt;&gt;"")*(H16:H55&lt;&gt;"OK"))&gt;0,"原価明細を確認",IF(AND(B11&lt;&gt;"計上済み",B11&lt;&gt;"単価に含む",B11&lt;&gt;"今回は未算入"),"共通経費の扱い確認",IF(OR(COUNT(F5:F8)&lt;&gt;4,MIN(F5:F8)&lt;0,NOT(ISNUMBER(B7)),B7&lt;=0,B8=""),"生産費用・収穫量確認","OK"))))</f>
        <v>OK</v>
      </c>
      <c r="N5" s="21"/>
    </row>
    <row r="6" ht="33" customHeight="1">
      <c r="A6" s="2" t="str">
        <v>生産費用合計</v>
      </c>
      <c r="B6" s="24" t="n">
        <f>SUM(F5:F8)</f>
        <v>1000000</v>
      </c>
      <c r="C6" s="2"/>
      <c r="D6" s="2"/>
      <c r="E6" s="32" t="str">
        <v>栽培・収穫作業</v>
      </c>
      <c r="F6" s="55" t="n">
        <v>400000</v>
      </c>
      <c r="G6" s="2"/>
      <c r="H6" s="2"/>
      <c r="I6" s="2"/>
      <c r="J6" s="2"/>
      <c r="K6" s="2"/>
      <c r="L6" s="21" t="str">
        <v>案件共通費</v>
      </c>
      <c r="M6" s="21" t="n">
        <f>SUMIFS(F16:F55,A16:A55,"案件共通")</f>
        <v>10000</v>
      </c>
      <c r="N6" s="21"/>
    </row>
    <row r="7" ht="33" customHeight="1">
      <c r="A7" s="2" t="str">
        <v>販売可能収穫量</v>
      </c>
      <c r="B7" s="57" t="n">
        <v>5000</v>
      </c>
      <c r="C7" s="2"/>
      <c r="D7" s="2"/>
      <c r="E7" s="32" t="str">
        <v>その他の直接費</v>
      </c>
      <c r="F7" s="55" t="n">
        <v>100000</v>
      </c>
      <c r="G7" s="2"/>
      <c r="H7" s="2"/>
      <c r="I7" s="2"/>
      <c r="J7" s="2"/>
      <c r="K7" s="2"/>
      <c r="L7" s="21" t="str">
        <v>共通経費表示</v>
      </c>
      <c r="M7" s="21" t="str">
        <f>B11</f>
        <v>計上済み</v>
      </c>
      <c r="N7" s="21"/>
    </row>
    <row r="8" ht="33" customHeight="1">
      <c r="A8" s="2" t="str">
        <v>生産量の単位</v>
      </c>
      <c r="B8" s="57" t="str">
        <v>kg</v>
      </c>
      <c r="C8" s="2"/>
      <c r="D8" s="2"/>
      <c r="E8" s="32" t="str">
        <v>共通経費の割当</v>
      </c>
      <c r="F8" s="55" t="n">
        <v>200000</v>
      </c>
      <c r="G8" s="2"/>
      <c r="H8" s="2"/>
      <c r="I8" s="2"/>
      <c r="J8" s="2"/>
      <c r="K8" s="2"/>
      <c r="L8" s="21"/>
      <c r="M8" s="21"/>
      <c r="N8" s="21"/>
    </row>
    <row r="9" ht="24" customHeight="1">
      <c r="A9" s="2" t="str">
        <v>生産原価単価</v>
      </c>
      <c r="B9" s="24" t="n">
        <f>IF(AND(COUNT(F5:F8)=4,MIN(F5:F8)&gt;=0,ISNUMBER(B7),B7&gt;0),B6/B7,"")</f>
        <v>200</v>
      </c>
      <c r="C9" s="2"/>
      <c r="D9" s="2"/>
      <c r="E9" s="2"/>
      <c r="F9" s="2"/>
      <c r="G9" s="2"/>
      <c r="H9" s="2"/>
      <c r="I9" s="2"/>
      <c r="J9" s="2"/>
      <c r="K9" s="2"/>
      <c r="L9" s="21"/>
      <c r="M9" s="21"/>
      <c r="N9" s="21"/>
    </row>
    <row r="10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1"/>
      <c r="M10" s="21"/>
      <c r="N10" s="21"/>
    </row>
    <row r="11" ht="24" customHeight="1">
      <c r="A11" s="2" t="str">
        <v>共通経費の扱い</v>
      </c>
      <c r="B11" s="51" t="str">
        <v>計上済み</v>
      </c>
      <c r="C11" s="2"/>
      <c r="D11" s="2"/>
      <c r="E11" s="2"/>
      <c r="F11" s="2"/>
      <c r="G11" s="2"/>
      <c r="H11" s="2"/>
      <c r="I11" s="2"/>
      <c r="J11" s="2"/>
      <c r="K11" s="2"/>
      <c r="L11" s="21"/>
      <c r="M11" s="21"/>
      <c r="N11" s="21"/>
    </row>
    <row r="12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1"/>
      <c r="M12" s="21"/>
      <c r="N12" s="21"/>
    </row>
    <row r="13" ht="32" customHeight="1">
      <c r="A13" s="10" t="str">
        <v>青色が入力欄。未算入の共通経費は利益に含まれません。既に単価に含む費用は二重計上しないでください。</v>
      </c>
      <c r="B13" s="10"/>
      <c r="C13" s="10"/>
      <c r="D13" s="10"/>
      <c r="E13" s="10"/>
      <c r="F13" s="10"/>
      <c r="G13" s="10"/>
      <c r="H13" s="10"/>
      <c r="I13" s="10"/>
      <c r="J13" s="10"/>
      <c r="K13" s="2"/>
      <c r="L13" s="21"/>
      <c r="M13" s="21"/>
      <c r="N13" s="21"/>
    </row>
    <row r="14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1"/>
      <c r="M14" s="21"/>
      <c r="N14" s="21"/>
    </row>
    <row r="15" ht="30" customHeight="1">
      <c r="A15" s="6" t="str">
        <v>対象明細ID</v>
      </c>
      <c r="B15" s="6" t="str">
        <v>区分</v>
      </c>
      <c r="C15" s="6" t="str">
        <v>内容</v>
      </c>
      <c r="D15" s="6" t="str">
        <v>使用量・時間</v>
      </c>
      <c r="E15" s="6" t="str">
        <v>原価単価</v>
      </c>
      <c r="F15" s="6" t="str">
        <v>原価金額</v>
      </c>
      <c r="G15" s="6" t="str">
        <v>根拠・単位</v>
      </c>
      <c r="H15" s="6" t="str">
        <v>入力確認</v>
      </c>
      <c r="I15" s="6" t="str">
        <v>数量の扱い</v>
      </c>
      <c r="J15" s="6" t="str">
        <v>見積数量</v>
      </c>
      <c r="K15" s="2" t="str">
        <v>適用単価</v>
      </c>
      <c r="L15" s="22" t="str">
        <v>明細ID</v>
      </c>
      <c r="M15" s="22" t="str">
        <v>紐付く原価</v>
      </c>
      <c r="N15" s="22" t="str">
        <v>原価行数</v>
      </c>
    </row>
    <row r="16" ht="30" customHeight="1">
      <c r="A16" s="51" t="str">
        <v>M001</v>
      </c>
      <c r="B16" s="51" t="str">
        <v>生産原価</v>
      </c>
      <c r="C16" s="51" t="str">
        <v>対象出荷分の生産原価</v>
      </c>
      <c r="D16" s="57" t="n">
        <v>5</v>
      </c>
      <c r="E16" s="57"/>
      <c r="F16" s="14" t="n">
        <f>IF(H16="OK",ROUND(D16*K16*J16,0),"")</f>
        <v>2000</v>
      </c>
      <c r="G16" s="54" t="str">
        <v>kg/箱・単価自動</v>
      </c>
      <c r="H16" s="32" t="str">
        <f>IF(COUNTA(A16:E16)+COUNTA(G16)+COUNTA(I16)=0,"",IF(OR(A16="",B16="",C16="",I16=""),"必須欄不足",IF(AND(A16&lt;&gt;"案件共通",COUNTIFS('見積入力'!$A$16:$A$25,A16)&lt;&gt;1),"ID未登録・重複",IF(OR(AND(I16&lt;&gt;"数量連動",I16&lt;&gt;"一式"),AND(A16="案件共通",I16&lt;&gt;"一式")),"数量の扱い確認",IF(OR(NOT(ISNUMBER(D16)),NOT(ISNUMBER(K16)),AND(B16&lt;&gt;"生産原価",E16=""),D16="",NOT(ISNUMBER(J16))),"数値を入力",IF(OR(D16&lt;0,K16&lt;0,J16&lt;=0),"負数・数量確認","OK"))))))</f>
        <v>OK</v>
      </c>
      <c r="I16" s="51" t="str">
        <v>数量連動</v>
      </c>
      <c r="J16" s="2" t="n">
        <f>IF(A16="","",IF(I16="一式",1,IFERROR(INDEX('見積入力'!$D$16:$D$25,MATCH(A16,'見積入力'!$A$16:$A$25,0)),"ID未登録")))</f>
        <v>2</v>
      </c>
      <c r="K16" s="24" t="n">
        <f>IF(A16="","",IF(B16="生産原価",$B$9,E16))</f>
        <v>200</v>
      </c>
      <c r="L16" s="21" t="str">
        <f>IF('見積入力'!A16="","",'見積入力'!A16)</f>
        <v>M001</v>
      </c>
      <c r="M16" s="21" t="n">
        <f>IF(L16="","",SUMIFS($F$16:$F$55,$A$16:$A$55,L16))</f>
        <v>2600</v>
      </c>
      <c r="N16" s="21" t="n">
        <f>IF(L16="","",COUNTIFS($A$16:$A$55,L16))</f>
        <v>3</v>
      </c>
    </row>
    <row r="17" ht="30" customHeight="1">
      <c r="A17" s="51" t="str">
        <v>M001</v>
      </c>
      <c r="B17" s="51" t="str">
        <v>材料</v>
      </c>
      <c r="C17" s="51" t="str">
        <v>箱・包装材</v>
      </c>
      <c r="D17" s="57" t="n">
        <v>1</v>
      </c>
      <c r="E17" s="57" t="n">
        <v>150</v>
      </c>
      <c r="F17" s="14" t="n">
        <f>IF(H17="OK",ROUND(D17*K17*J17,0),"")</f>
        <v>300</v>
      </c>
      <c r="G17" s="54" t="str">
        <v>箱当たり</v>
      </c>
      <c r="H17" s="32" t="str">
        <f>IF(COUNTA(A17:E17)+COUNTA(G17)+COUNTA(I17)=0,"",IF(OR(A17="",B17="",C17="",I17=""),"必須欄不足",IF(AND(A17&lt;&gt;"案件共通",COUNTIFS('見積入力'!$A$16:$A$25,A17)&lt;&gt;1),"ID未登録・重複",IF(OR(AND(I17&lt;&gt;"数量連動",I17&lt;&gt;"一式"),AND(A17="案件共通",I17&lt;&gt;"一式")),"数量の扱い確認",IF(OR(NOT(ISNUMBER(D17)),NOT(ISNUMBER(K17)),AND(B17&lt;&gt;"生産原価",E17=""),D17="",NOT(ISNUMBER(J17))),"数値を入力",IF(OR(D17&lt;0,K17&lt;0,J17&lt;=0),"負数・数量確認","OK"))))))</f>
        <v>OK</v>
      </c>
      <c r="I17" s="51" t="str">
        <v>数量連動</v>
      </c>
      <c r="J17" s="2" t="n">
        <f>IF(A17="","",IF(I17="一式",1,IFERROR(INDEX('見積入力'!$D$16:$D$25,MATCH(A17,'見積入力'!$A$16:$A$25,0)),"ID未登録")))</f>
        <v>2</v>
      </c>
      <c r="K17" s="24" t="n">
        <f>IF(A17="","",IF(B17="生産原価",$B$9,E17))</f>
        <v>150</v>
      </c>
      <c r="L17" s="21" t="str">
        <f>IF('見積入力'!A17="","",'見積入力'!A17)</f>
        <v>M002</v>
      </c>
      <c r="M17" s="21" t="n">
        <f>IF(L17="","",SUMIFS($F$16:$F$55,$A$16:$A$55,L17))</f>
        <v>0</v>
      </c>
      <c r="N17" s="21" t="n">
        <f>IF(L17="","",COUNTIFS($A$16:$A$55,L17))</f>
        <v>0</v>
      </c>
    </row>
    <row r="18" ht="30" customHeight="1">
      <c r="A18" s="51" t="str">
        <v>M001</v>
      </c>
      <c r="B18" s="51" t="str">
        <v>作業</v>
      </c>
      <c r="C18" s="51" t="str">
        <v>選別・梱包</v>
      </c>
      <c r="D18" s="57" t="n">
        <v>0.1</v>
      </c>
      <c r="E18" s="57" t="n">
        <v>1500</v>
      </c>
      <c r="F18" s="14" t="n">
        <f>IF(H18="OK",ROUND(D18*K18*J18,0),"")</f>
        <v>300</v>
      </c>
      <c r="G18" s="54" t="str">
        <v>時間/箱</v>
      </c>
      <c r="H18" s="32" t="str">
        <f>IF(COUNTA(A18:E18)+COUNTA(G18)+COUNTA(I18)=0,"",IF(OR(A18="",B18="",C18="",I18=""),"必須欄不足",IF(AND(A18&lt;&gt;"案件共通",COUNTIFS('見積入力'!$A$16:$A$25,A18)&lt;&gt;1),"ID未登録・重複",IF(OR(AND(I18&lt;&gt;"数量連動",I18&lt;&gt;"一式"),AND(A18="案件共通",I18&lt;&gt;"一式")),"数量の扱い確認",IF(OR(NOT(ISNUMBER(D18)),NOT(ISNUMBER(K18)),AND(B18&lt;&gt;"生産原価",E18=""),D18="",NOT(ISNUMBER(J18))),"数値を入力",IF(OR(D18&lt;0,K18&lt;0,J18&lt;=0),"負数・数量確認","OK"))))))</f>
        <v>OK</v>
      </c>
      <c r="I18" s="51" t="str">
        <v>数量連動</v>
      </c>
      <c r="J18" s="2" t="n">
        <f>IF(A18="","",IF(I18="一式",1,IFERROR(INDEX('見積入力'!$D$16:$D$25,MATCH(A18,'見積入力'!$A$16:$A$25,0)),"ID未登録")))</f>
        <v>2</v>
      </c>
      <c r="K18" s="24" t="n">
        <f>IF(A18="","",IF(B18="生産原価",$B$9,E18))</f>
        <v>1500</v>
      </c>
      <c r="L18" s="21" t="str">
        <f>IF('見積入力'!A18="","",'見積入力'!A18)</f>
      </c>
      <c r="M18" s="21" t="str">
        <f>IF(L18="","",SUMIFS($F$16:$F$55,$A$16:$A$55,L18))</f>
      </c>
      <c r="N18" s="21" t="str">
        <f>IF(L18="","",COUNTIFS($A$16:$A$55,L18))</f>
      </c>
    </row>
    <row r="19" ht="30" customHeight="1">
      <c r="A19" s="51" t="str">
        <v>案件共通</v>
      </c>
      <c r="B19" s="51" t="str">
        <v>配送</v>
      </c>
      <c r="C19" s="51" t="str">
        <v>今回の配送</v>
      </c>
      <c r="D19" s="57" t="n">
        <v>1</v>
      </c>
      <c r="E19" s="57" t="n">
        <v>10000</v>
      </c>
      <c r="F19" s="14" t="n">
        <f>IF(H19="OK",ROUND(D19*K19*J19,0),"")</f>
        <v>10000</v>
      </c>
      <c r="G19" s="54" t="str">
        <v>出荷1回</v>
      </c>
      <c r="H19" s="32" t="str">
        <f>IF(COUNTA(A19:E19)+COUNTA(G19)+COUNTA(I19)=0,"",IF(OR(A19="",B19="",C19="",I19=""),"必須欄不足",IF(AND(A19&lt;&gt;"案件共通",COUNTIFS('見積入力'!$A$16:$A$25,A19)&lt;&gt;1),"ID未登録・重複",IF(OR(AND(I19&lt;&gt;"数量連動",I19&lt;&gt;"一式"),AND(A19="案件共通",I19&lt;&gt;"一式")),"数量の扱い確認",IF(OR(NOT(ISNUMBER(D19)),NOT(ISNUMBER(K19)),AND(B19&lt;&gt;"生産原価",E19=""),D19="",NOT(ISNUMBER(J19))),"数値を入力",IF(OR(D19&lt;0,K19&lt;0,J19&lt;=0),"負数・数量確認","OK"))))))</f>
        <v>OK</v>
      </c>
      <c r="I19" s="51" t="str">
        <v>一式</v>
      </c>
      <c r="J19" s="2" t="n">
        <f>IF(A19="","",IF(I19="一式",1,IFERROR(INDEX('見積入力'!$D$16:$D$25,MATCH(A19,'見積入力'!$A$16:$A$25,0)),"ID未登録")))</f>
        <v>1</v>
      </c>
      <c r="K19" s="24" t="n">
        <f>IF(A19="","",IF(B19="生産原価",$B$9,E19))</f>
        <v>10000</v>
      </c>
      <c r="L19" s="21" t="str">
        <f>IF('見積入力'!A19="","",'見積入力'!A19)</f>
      </c>
      <c r="M19" s="21" t="str">
        <f>IF(L19="","",SUMIFS($F$16:$F$55,$A$16:$A$55,L19))</f>
      </c>
      <c r="N19" s="21" t="str">
        <f>IF(L19="","",COUNTIFS($A$16:$A$55,L19))</f>
      </c>
    </row>
    <row r="20" ht="30" customHeight="1">
      <c r="A20" s="51"/>
      <c r="B20" s="51"/>
      <c r="C20" s="51"/>
      <c r="D20" s="57"/>
      <c r="E20" s="57"/>
      <c r="F20" s="14" t="str">
        <f>IF(H20="OK",ROUND(D20*K20*J20,0),"")</f>
      </c>
      <c r="G20" s="54"/>
      <c r="H20" s="32" t="str">
        <f>IF(COUNTA(A20:E20)+COUNTA(G20)+COUNTA(I20)=0,"",IF(OR(A20="",B20="",C20="",I20=""),"必須欄不足",IF(AND(A20&lt;&gt;"案件共通",COUNTIFS('見積入力'!$A$16:$A$25,A20)&lt;&gt;1),"ID未登録・重複",IF(OR(AND(I20&lt;&gt;"数量連動",I20&lt;&gt;"一式"),AND(A20="案件共通",I20&lt;&gt;"一式")),"数量の扱い確認",IF(OR(NOT(ISNUMBER(D20)),NOT(ISNUMBER(K20)),AND(B20&lt;&gt;"生産原価",E20=""),D20="",NOT(ISNUMBER(J20))),"数値を入力",IF(OR(D20&lt;0,K20&lt;0,J20&lt;=0),"負数・数量確認","OK"))))))</f>
      </c>
      <c r="I20" s="51"/>
      <c r="J20" s="2" t="str">
        <f>IF(A20="","",IF(I20="一式",1,IFERROR(INDEX('見積入力'!$D$16:$D$25,MATCH(A20,'見積入力'!$A$16:$A$25,0)),"ID未登録")))</f>
      </c>
      <c r="K20" s="24" t="str">
        <f>IF(A20="","",IF(B20="生産原価",$B$9,E20))</f>
      </c>
      <c r="L20" s="21" t="str">
        <f>IF('見積入力'!A20="","",'見積入力'!A20)</f>
      </c>
      <c r="M20" s="21" t="str">
        <f>IF(L20="","",SUMIFS($F$16:$F$55,$A$16:$A$55,L20))</f>
      </c>
      <c r="N20" s="21" t="str">
        <f>IF(L20="","",COUNTIFS($A$16:$A$55,L20))</f>
      </c>
    </row>
    <row r="21" ht="30" customHeight="1">
      <c r="A21" s="51"/>
      <c r="B21" s="51"/>
      <c r="C21" s="51"/>
      <c r="D21" s="57"/>
      <c r="E21" s="57"/>
      <c r="F21" s="14" t="str">
        <f>IF(H21="OK",ROUND(D21*K21*J21,0),"")</f>
      </c>
      <c r="G21" s="54"/>
      <c r="H21" s="32" t="str">
        <f>IF(COUNTA(A21:E21)+COUNTA(G21)+COUNTA(I21)=0,"",IF(OR(A21="",B21="",C21="",I21=""),"必須欄不足",IF(AND(A21&lt;&gt;"案件共通",COUNTIFS('見積入力'!$A$16:$A$25,A21)&lt;&gt;1),"ID未登録・重複",IF(OR(AND(I21&lt;&gt;"数量連動",I21&lt;&gt;"一式"),AND(A21="案件共通",I21&lt;&gt;"一式")),"数量の扱い確認",IF(OR(NOT(ISNUMBER(D21)),NOT(ISNUMBER(K21)),AND(B21&lt;&gt;"生産原価",E21=""),D21="",NOT(ISNUMBER(J21))),"数値を入力",IF(OR(D21&lt;0,K21&lt;0,J21&lt;=0),"負数・数量確認","OK"))))))</f>
      </c>
      <c r="I21" s="51"/>
      <c r="J21" s="2" t="str">
        <f>IF(A21="","",IF(I21="一式",1,IFERROR(INDEX('見積入力'!$D$16:$D$25,MATCH(A21,'見積入力'!$A$16:$A$25,0)),"ID未登録")))</f>
      </c>
      <c r="K21" s="24" t="str">
        <f>IF(A21="","",IF(B21="生産原価",$B$9,E21))</f>
      </c>
      <c r="L21" s="21" t="str">
        <f>IF('見積入力'!A21="","",'見積入力'!A21)</f>
      </c>
      <c r="M21" s="21" t="str">
        <f>IF(L21="","",SUMIFS($F$16:$F$55,$A$16:$A$55,L21))</f>
      </c>
      <c r="N21" s="21" t="str">
        <f>IF(L21="","",COUNTIFS($A$16:$A$55,L21))</f>
      </c>
    </row>
    <row r="22" ht="30" customHeight="1">
      <c r="A22" s="51"/>
      <c r="B22" s="51"/>
      <c r="C22" s="51"/>
      <c r="D22" s="57"/>
      <c r="E22" s="57"/>
      <c r="F22" s="14" t="str">
        <f>IF(H22="OK",ROUND(D22*K22*J22,0),"")</f>
      </c>
      <c r="G22" s="54"/>
      <c r="H22" s="32" t="str">
        <f>IF(COUNTA(A22:E22)+COUNTA(G22)+COUNTA(I22)=0,"",IF(OR(A22="",B22="",C22="",I22=""),"必須欄不足",IF(AND(A22&lt;&gt;"案件共通",COUNTIFS('見積入力'!$A$16:$A$25,A22)&lt;&gt;1),"ID未登録・重複",IF(OR(AND(I22&lt;&gt;"数量連動",I22&lt;&gt;"一式"),AND(A22="案件共通",I22&lt;&gt;"一式")),"数量の扱い確認",IF(OR(NOT(ISNUMBER(D22)),NOT(ISNUMBER(K22)),AND(B22&lt;&gt;"生産原価",E22=""),D22="",NOT(ISNUMBER(J22))),"数値を入力",IF(OR(D22&lt;0,K22&lt;0,J22&lt;=0),"負数・数量確認","OK"))))))</f>
      </c>
      <c r="I22" s="51"/>
      <c r="J22" s="2" t="str">
        <f>IF(A22="","",IF(I22="一式",1,IFERROR(INDEX('見積入力'!$D$16:$D$25,MATCH(A22,'見積入力'!$A$16:$A$25,0)),"ID未登録")))</f>
      </c>
      <c r="K22" s="24" t="str">
        <f>IF(A22="","",IF(B22="生産原価",$B$9,E22))</f>
      </c>
      <c r="L22" s="21" t="str">
        <f>IF('見積入力'!A22="","",'見積入力'!A22)</f>
      </c>
      <c r="M22" s="21" t="str">
        <f>IF(L22="","",SUMIFS($F$16:$F$55,$A$16:$A$55,L22))</f>
      </c>
      <c r="N22" s="21" t="str">
        <f>IF(L22="","",COUNTIFS($A$16:$A$55,L22))</f>
      </c>
    </row>
    <row r="23" ht="30" customHeight="1">
      <c r="A23" s="51"/>
      <c r="B23" s="51"/>
      <c r="C23" s="51"/>
      <c r="D23" s="57"/>
      <c r="E23" s="57"/>
      <c r="F23" s="14" t="str">
        <f>IF(H23="OK",ROUND(D23*K23*J23,0),"")</f>
      </c>
      <c r="G23" s="54"/>
      <c r="H23" s="32" t="str">
        <f>IF(COUNTA(A23:E23)+COUNTA(G23)+COUNTA(I23)=0,"",IF(OR(A23="",B23="",C23="",I23=""),"必須欄不足",IF(AND(A23&lt;&gt;"案件共通",COUNTIFS('見積入力'!$A$16:$A$25,A23)&lt;&gt;1),"ID未登録・重複",IF(OR(AND(I23&lt;&gt;"数量連動",I23&lt;&gt;"一式"),AND(A23="案件共通",I23&lt;&gt;"一式")),"数量の扱い確認",IF(OR(NOT(ISNUMBER(D23)),NOT(ISNUMBER(K23)),AND(B23&lt;&gt;"生産原価",E23=""),D23="",NOT(ISNUMBER(J23))),"数値を入力",IF(OR(D23&lt;0,K23&lt;0,J23&lt;=0),"負数・数量確認","OK"))))))</f>
      </c>
      <c r="I23" s="51"/>
      <c r="J23" s="2" t="str">
        <f>IF(A23="","",IF(I23="一式",1,IFERROR(INDEX('見積入力'!$D$16:$D$25,MATCH(A23,'見積入力'!$A$16:$A$25,0)),"ID未登録")))</f>
      </c>
      <c r="K23" s="24" t="str">
        <f>IF(A23="","",IF(B23="生産原価",$B$9,E23))</f>
      </c>
      <c r="L23" s="21" t="str">
        <f>IF('見積入力'!A23="","",'見積入力'!A23)</f>
      </c>
      <c r="M23" s="21" t="str">
        <f>IF(L23="","",SUMIFS($F$16:$F$55,$A$16:$A$55,L23))</f>
      </c>
      <c r="N23" s="21" t="str">
        <f>IF(L23="","",COUNTIFS($A$16:$A$55,L23))</f>
      </c>
    </row>
    <row r="24" ht="30" customHeight="1">
      <c r="A24" s="51"/>
      <c r="B24" s="51"/>
      <c r="C24" s="51"/>
      <c r="D24" s="57"/>
      <c r="E24" s="57"/>
      <c r="F24" s="14" t="str">
        <f>IF(H24="OK",ROUND(D24*K24*J24,0),"")</f>
      </c>
      <c r="G24" s="54"/>
      <c r="H24" s="32" t="str">
        <f>IF(COUNTA(A24:E24)+COUNTA(G24)+COUNTA(I24)=0,"",IF(OR(A24="",B24="",C24="",I24=""),"必須欄不足",IF(AND(A24&lt;&gt;"案件共通",COUNTIFS('見積入力'!$A$16:$A$25,A24)&lt;&gt;1),"ID未登録・重複",IF(OR(AND(I24&lt;&gt;"数量連動",I24&lt;&gt;"一式"),AND(A24="案件共通",I24&lt;&gt;"一式")),"数量の扱い確認",IF(OR(NOT(ISNUMBER(D24)),NOT(ISNUMBER(K24)),AND(B24&lt;&gt;"生産原価",E24=""),D24="",NOT(ISNUMBER(J24))),"数値を入力",IF(OR(D24&lt;0,K24&lt;0,J24&lt;=0),"負数・数量確認","OK"))))))</f>
      </c>
      <c r="I24" s="51"/>
      <c r="J24" s="2" t="str">
        <f>IF(A24="","",IF(I24="一式",1,IFERROR(INDEX('見積入力'!$D$16:$D$25,MATCH(A24,'見積入力'!$A$16:$A$25,0)),"ID未登録")))</f>
      </c>
      <c r="K24" s="24" t="str">
        <f>IF(A24="","",IF(B24="生産原価",$B$9,E24))</f>
      </c>
      <c r="L24" s="21" t="str">
        <f>IF('見積入力'!A24="","",'見積入力'!A24)</f>
      </c>
      <c r="M24" s="21" t="str">
        <f>IF(L24="","",SUMIFS($F$16:$F$55,$A$16:$A$55,L24))</f>
      </c>
      <c r="N24" s="21" t="str">
        <f>IF(L24="","",COUNTIFS($A$16:$A$55,L24))</f>
      </c>
    </row>
    <row r="25" ht="30" customHeight="1">
      <c r="A25" s="51"/>
      <c r="B25" s="51"/>
      <c r="C25" s="51"/>
      <c r="D25" s="57"/>
      <c r="E25" s="57"/>
      <c r="F25" s="14" t="str">
        <f>IF(H25="OK",ROUND(D25*K25*J25,0),"")</f>
      </c>
      <c r="G25" s="54"/>
      <c r="H25" s="32" t="str">
        <f>IF(COUNTA(A25:E25)+COUNTA(G25)+COUNTA(I25)=0,"",IF(OR(A25="",B25="",C25="",I25=""),"必須欄不足",IF(AND(A25&lt;&gt;"案件共通",COUNTIFS('見積入力'!$A$16:$A$25,A25)&lt;&gt;1),"ID未登録・重複",IF(OR(AND(I25&lt;&gt;"数量連動",I25&lt;&gt;"一式"),AND(A25="案件共通",I25&lt;&gt;"一式")),"数量の扱い確認",IF(OR(NOT(ISNUMBER(D25)),NOT(ISNUMBER(K25)),AND(B25&lt;&gt;"生産原価",E25=""),D25="",NOT(ISNUMBER(J25))),"数値を入力",IF(OR(D25&lt;0,K25&lt;0,J25&lt;=0),"負数・数量確認","OK"))))))</f>
      </c>
      <c r="I25" s="51"/>
      <c r="J25" s="2" t="str">
        <f>IF(A25="","",IF(I25="一式",1,IFERROR(INDEX('見積入力'!$D$16:$D$25,MATCH(A25,'見積入力'!$A$16:$A$25,0)),"ID未登録")))</f>
      </c>
      <c r="K25" s="24" t="str">
        <f>IF(A25="","",IF(B25="生産原価",$B$9,E25))</f>
      </c>
      <c r="L25" s="21" t="str">
        <f>IF('見積入力'!A25="","",'見積入力'!A25)</f>
      </c>
      <c r="M25" s="21" t="str">
        <f>IF(L25="","",SUMIFS($F$16:$F$55,$A$16:$A$55,L25))</f>
      </c>
      <c r="N25" s="21" t="str">
        <f>IF(L25="","",COUNTIFS($A$16:$A$55,L25))</f>
      </c>
    </row>
    <row r="26" ht="30" customHeight="1">
      <c r="A26" s="51"/>
      <c r="B26" s="51"/>
      <c r="C26" s="51"/>
      <c r="D26" s="57"/>
      <c r="E26" s="57"/>
      <c r="F26" s="14" t="str">
        <f>IF(H26="OK",ROUND(D26*K26*J26,0),"")</f>
      </c>
      <c r="G26" s="54"/>
      <c r="H26" s="32" t="str">
        <f>IF(COUNTA(A26:E26)+COUNTA(G26)+COUNTA(I26)=0,"",IF(OR(A26="",B26="",C26="",I26=""),"必須欄不足",IF(AND(A26&lt;&gt;"案件共通",COUNTIFS('見積入力'!$A$16:$A$25,A26)&lt;&gt;1),"ID未登録・重複",IF(OR(AND(I26&lt;&gt;"数量連動",I26&lt;&gt;"一式"),AND(A26="案件共通",I26&lt;&gt;"一式")),"数量の扱い確認",IF(OR(NOT(ISNUMBER(D26)),NOT(ISNUMBER(K26)),AND(B26&lt;&gt;"生産原価",E26=""),D26="",NOT(ISNUMBER(J26))),"数値を入力",IF(OR(D26&lt;0,K26&lt;0,J26&lt;=0),"負数・数量確認","OK"))))))</f>
      </c>
      <c r="I26" s="51"/>
      <c r="J26" s="2" t="str">
        <f>IF(A26="","",IF(I26="一式",1,IFERROR(INDEX('見積入力'!$D$16:$D$25,MATCH(A26,'見積入力'!$A$16:$A$25,0)),"ID未登録")))</f>
      </c>
      <c r="K26" s="24" t="str">
        <f>IF(A26="","",IF(B26="生産原価",$B$9,E26))</f>
      </c>
    </row>
    <row r="27" ht="30" customHeight="1">
      <c r="A27" s="51"/>
      <c r="B27" s="51"/>
      <c r="C27" s="51"/>
      <c r="D27" s="57"/>
      <c r="E27" s="57"/>
      <c r="F27" s="14" t="str">
        <f>IF(H27="OK",ROUND(D27*K27*J27,0),"")</f>
      </c>
      <c r="G27" s="54"/>
      <c r="H27" s="32" t="str">
        <f>IF(COUNTA(A27:E27)+COUNTA(G27)+COUNTA(I27)=0,"",IF(OR(A27="",B27="",C27="",I27=""),"必須欄不足",IF(AND(A27&lt;&gt;"案件共通",COUNTIFS('見積入力'!$A$16:$A$25,A27)&lt;&gt;1),"ID未登録・重複",IF(OR(AND(I27&lt;&gt;"数量連動",I27&lt;&gt;"一式"),AND(A27="案件共通",I27&lt;&gt;"一式")),"数量の扱い確認",IF(OR(NOT(ISNUMBER(D27)),NOT(ISNUMBER(K27)),AND(B27&lt;&gt;"生産原価",E27=""),D27="",NOT(ISNUMBER(J27))),"数値を入力",IF(OR(D27&lt;0,K27&lt;0,J27&lt;=0),"負数・数量確認","OK"))))))</f>
      </c>
      <c r="I27" s="51"/>
      <c r="J27" s="2" t="str">
        <f>IF(A27="","",IF(I27="一式",1,IFERROR(INDEX('見積入力'!$D$16:$D$25,MATCH(A27,'見積入力'!$A$16:$A$25,0)),"ID未登録")))</f>
      </c>
      <c r="K27" s="24" t="str">
        <f>IF(A27="","",IF(B27="生産原価",$B$9,E27))</f>
      </c>
    </row>
    <row r="28" ht="30" customHeight="1">
      <c r="A28" s="51"/>
      <c r="B28" s="51"/>
      <c r="C28" s="51"/>
      <c r="D28" s="57"/>
      <c r="E28" s="57"/>
      <c r="F28" s="14" t="str">
        <f>IF(H28="OK",ROUND(D28*K28*J28,0),"")</f>
      </c>
      <c r="G28" s="54"/>
      <c r="H28" s="32" t="str">
        <f>IF(COUNTA(A28:E28)+COUNTA(G28)+COUNTA(I28)=0,"",IF(OR(A28="",B28="",C28="",I28=""),"必須欄不足",IF(AND(A28&lt;&gt;"案件共通",COUNTIFS('見積入力'!$A$16:$A$25,A28)&lt;&gt;1),"ID未登録・重複",IF(OR(AND(I28&lt;&gt;"数量連動",I28&lt;&gt;"一式"),AND(A28="案件共通",I28&lt;&gt;"一式")),"数量の扱い確認",IF(OR(NOT(ISNUMBER(D28)),NOT(ISNUMBER(K28)),AND(B28&lt;&gt;"生産原価",E28=""),D28="",NOT(ISNUMBER(J28))),"数値を入力",IF(OR(D28&lt;0,K28&lt;0,J28&lt;=0),"負数・数量確認","OK"))))))</f>
      </c>
      <c r="I28" s="51"/>
      <c r="J28" s="2" t="str">
        <f>IF(A28="","",IF(I28="一式",1,IFERROR(INDEX('見積入力'!$D$16:$D$25,MATCH(A28,'見積入力'!$A$16:$A$25,0)),"ID未登録")))</f>
      </c>
      <c r="K28" s="24" t="str">
        <f>IF(A28="","",IF(B28="生産原価",$B$9,E28))</f>
      </c>
    </row>
    <row r="29" ht="30" customHeight="1">
      <c r="A29" s="51"/>
      <c r="B29" s="51"/>
      <c r="C29" s="51"/>
      <c r="D29" s="57"/>
      <c r="E29" s="57"/>
      <c r="F29" s="14" t="str">
        <f>IF(H29="OK",ROUND(D29*K29*J29,0),"")</f>
      </c>
      <c r="G29" s="54"/>
      <c r="H29" s="32" t="str">
        <f>IF(COUNTA(A29:E29)+COUNTA(G29)+COUNTA(I29)=0,"",IF(OR(A29="",B29="",C29="",I29=""),"必須欄不足",IF(AND(A29&lt;&gt;"案件共通",COUNTIFS('見積入力'!$A$16:$A$25,A29)&lt;&gt;1),"ID未登録・重複",IF(OR(AND(I29&lt;&gt;"数量連動",I29&lt;&gt;"一式"),AND(A29="案件共通",I29&lt;&gt;"一式")),"数量の扱い確認",IF(OR(NOT(ISNUMBER(D29)),NOT(ISNUMBER(K29)),AND(B29&lt;&gt;"生産原価",E29=""),D29="",NOT(ISNUMBER(J29))),"数値を入力",IF(OR(D29&lt;0,K29&lt;0,J29&lt;=0),"負数・数量確認","OK"))))))</f>
      </c>
      <c r="I29" s="51"/>
      <c r="J29" s="2" t="str">
        <f>IF(A29="","",IF(I29="一式",1,IFERROR(INDEX('見積入力'!$D$16:$D$25,MATCH(A29,'見積入力'!$A$16:$A$25,0)),"ID未登録")))</f>
      </c>
      <c r="K29" s="24" t="str">
        <f>IF(A29="","",IF(B29="生産原価",$B$9,E29))</f>
      </c>
    </row>
    <row r="30" ht="30" customHeight="1">
      <c r="A30" s="51"/>
      <c r="B30" s="51"/>
      <c r="C30" s="51"/>
      <c r="D30" s="57"/>
      <c r="E30" s="57"/>
      <c r="F30" s="14" t="str">
        <f>IF(H30="OK",ROUND(D30*K30*J30,0),"")</f>
      </c>
      <c r="G30" s="54"/>
      <c r="H30" s="32" t="str">
        <f>IF(COUNTA(A30:E30)+COUNTA(G30)+COUNTA(I30)=0,"",IF(OR(A30="",B30="",C30="",I30=""),"必須欄不足",IF(AND(A30&lt;&gt;"案件共通",COUNTIFS('見積入力'!$A$16:$A$25,A30)&lt;&gt;1),"ID未登録・重複",IF(OR(AND(I30&lt;&gt;"数量連動",I30&lt;&gt;"一式"),AND(A30="案件共通",I30&lt;&gt;"一式")),"数量の扱い確認",IF(OR(NOT(ISNUMBER(D30)),NOT(ISNUMBER(K30)),AND(B30&lt;&gt;"生産原価",E30=""),D30="",NOT(ISNUMBER(J30))),"数値を入力",IF(OR(D30&lt;0,K30&lt;0,J30&lt;=0),"負数・数量確認","OK"))))))</f>
      </c>
      <c r="I30" s="51"/>
      <c r="J30" s="2" t="str">
        <f>IF(A30="","",IF(I30="一式",1,IFERROR(INDEX('見積入力'!$D$16:$D$25,MATCH(A30,'見積入力'!$A$16:$A$25,0)),"ID未登録")))</f>
      </c>
      <c r="K30" s="24" t="str">
        <f>IF(A30="","",IF(B30="生産原価",$B$9,E30))</f>
      </c>
    </row>
    <row r="31" ht="30" customHeight="1">
      <c r="A31" s="51"/>
      <c r="B31" s="51"/>
      <c r="C31" s="51"/>
      <c r="D31" s="57"/>
      <c r="E31" s="57"/>
      <c r="F31" s="14" t="str">
        <f>IF(H31="OK",ROUND(D31*K31*J31,0),"")</f>
      </c>
      <c r="G31" s="54"/>
      <c r="H31" s="32" t="str">
        <f>IF(COUNTA(A31:E31)+COUNTA(G31)+COUNTA(I31)=0,"",IF(OR(A31="",B31="",C31="",I31=""),"必須欄不足",IF(AND(A31&lt;&gt;"案件共通",COUNTIFS('見積入力'!$A$16:$A$25,A31)&lt;&gt;1),"ID未登録・重複",IF(OR(AND(I31&lt;&gt;"数量連動",I31&lt;&gt;"一式"),AND(A31="案件共通",I31&lt;&gt;"一式")),"数量の扱い確認",IF(OR(NOT(ISNUMBER(D31)),NOT(ISNUMBER(K31)),AND(B31&lt;&gt;"生産原価",E31=""),D31="",NOT(ISNUMBER(J31))),"数値を入力",IF(OR(D31&lt;0,K31&lt;0,J31&lt;=0),"負数・数量確認","OK"))))))</f>
      </c>
      <c r="I31" s="51"/>
      <c r="J31" s="2" t="str">
        <f>IF(A31="","",IF(I31="一式",1,IFERROR(INDEX('見積入力'!$D$16:$D$25,MATCH(A31,'見積入力'!$A$16:$A$25,0)),"ID未登録")))</f>
      </c>
      <c r="K31" s="24" t="str">
        <f>IF(A31="","",IF(B31="生産原価",$B$9,E31))</f>
      </c>
    </row>
    <row r="32" ht="30" customHeight="1">
      <c r="A32" s="51"/>
      <c r="B32" s="51"/>
      <c r="C32" s="51"/>
      <c r="D32" s="57"/>
      <c r="E32" s="57"/>
      <c r="F32" s="14" t="str">
        <f>IF(H32="OK",ROUND(D32*K32*J32,0),"")</f>
      </c>
      <c r="G32" s="54"/>
      <c r="H32" s="32" t="str">
        <f>IF(COUNTA(A32:E32)+COUNTA(G32)+COUNTA(I32)=0,"",IF(OR(A32="",B32="",C32="",I32=""),"必須欄不足",IF(AND(A32&lt;&gt;"案件共通",COUNTIFS('見積入力'!$A$16:$A$25,A32)&lt;&gt;1),"ID未登録・重複",IF(OR(AND(I32&lt;&gt;"数量連動",I32&lt;&gt;"一式"),AND(A32="案件共通",I32&lt;&gt;"一式")),"数量の扱い確認",IF(OR(NOT(ISNUMBER(D32)),NOT(ISNUMBER(K32)),AND(B32&lt;&gt;"生産原価",E32=""),D32="",NOT(ISNUMBER(J32))),"数値を入力",IF(OR(D32&lt;0,K32&lt;0,J32&lt;=0),"負数・数量確認","OK"))))))</f>
      </c>
      <c r="I32" s="51"/>
      <c r="J32" s="2" t="str">
        <f>IF(A32="","",IF(I32="一式",1,IFERROR(INDEX('見積入力'!$D$16:$D$25,MATCH(A32,'見積入力'!$A$16:$A$25,0)),"ID未登録")))</f>
      </c>
      <c r="K32" s="24" t="str">
        <f>IF(A32="","",IF(B32="生産原価",$B$9,E32))</f>
      </c>
    </row>
    <row r="33" ht="30" customHeight="1">
      <c r="A33" s="51"/>
      <c r="B33" s="51"/>
      <c r="C33" s="51"/>
      <c r="D33" s="57"/>
      <c r="E33" s="57"/>
      <c r="F33" s="14" t="str">
        <f>IF(H33="OK",ROUND(D33*K33*J33,0),"")</f>
      </c>
      <c r="G33" s="54"/>
      <c r="H33" s="32" t="str">
        <f>IF(COUNTA(A33:E33)+COUNTA(G33)+COUNTA(I33)=0,"",IF(OR(A33="",B33="",C33="",I33=""),"必須欄不足",IF(AND(A33&lt;&gt;"案件共通",COUNTIFS('見積入力'!$A$16:$A$25,A33)&lt;&gt;1),"ID未登録・重複",IF(OR(AND(I33&lt;&gt;"数量連動",I33&lt;&gt;"一式"),AND(A33="案件共通",I33&lt;&gt;"一式")),"数量の扱い確認",IF(OR(NOT(ISNUMBER(D33)),NOT(ISNUMBER(K33)),AND(B33&lt;&gt;"生産原価",E33=""),D33="",NOT(ISNUMBER(J33))),"数値を入力",IF(OR(D33&lt;0,K33&lt;0,J33&lt;=0),"負数・数量確認","OK"))))))</f>
      </c>
      <c r="I33" s="51"/>
      <c r="J33" s="2" t="str">
        <f>IF(A33="","",IF(I33="一式",1,IFERROR(INDEX('見積入力'!$D$16:$D$25,MATCH(A33,'見積入力'!$A$16:$A$25,0)),"ID未登録")))</f>
      </c>
      <c r="K33" s="24" t="str">
        <f>IF(A33="","",IF(B33="生産原価",$B$9,E33))</f>
      </c>
    </row>
    <row r="34" ht="30" customHeight="1">
      <c r="A34" s="51"/>
      <c r="B34" s="51"/>
      <c r="C34" s="51"/>
      <c r="D34" s="57"/>
      <c r="E34" s="57"/>
      <c r="F34" s="14" t="str">
        <f>IF(H34="OK",ROUND(D34*K34*J34,0),"")</f>
      </c>
      <c r="G34" s="54"/>
      <c r="H34" s="32" t="str">
        <f>IF(COUNTA(A34:E34)+COUNTA(G34)+COUNTA(I34)=0,"",IF(OR(A34="",B34="",C34="",I34=""),"必須欄不足",IF(AND(A34&lt;&gt;"案件共通",COUNTIFS('見積入力'!$A$16:$A$25,A34)&lt;&gt;1),"ID未登録・重複",IF(OR(AND(I34&lt;&gt;"数量連動",I34&lt;&gt;"一式"),AND(A34="案件共通",I34&lt;&gt;"一式")),"数量の扱い確認",IF(OR(NOT(ISNUMBER(D34)),NOT(ISNUMBER(K34)),AND(B34&lt;&gt;"生産原価",E34=""),D34="",NOT(ISNUMBER(J34))),"数値を入力",IF(OR(D34&lt;0,K34&lt;0,J34&lt;=0),"負数・数量確認","OK"))))))</f>
      </c>
      <c r="I34" s="51"/>
      <c r="J34" s="2" t="str">
        <f>IF(A34="","",IF(I34="一式",1,IFERROR(INDEX('見積入力'!$D$16:$D$25,MATCH(A34,'見積入力'!$A$16:$A$25,0)),"ID未登録")))</f>
      </c>
      <c r="K34" s="24" t="str">
        <f>IF(A34="","",IF(B34="生産原価",$B$9,E34))</f>
      </c>
    </row>
    <row r="35" ht="30" customHeight="1">
      <c r="A35" s="51"/>
      <c r="B35" s="51"/>
      <c r="C35" s="51"/>
      <c r="D35" s="57"/>
      <c r="E35" s="57"/>
      <c r="F35" s="14" t="str">
        <f>IF(H35="OK",ROUND(D35*K35*J35,0),"")</f>
      </c>
      <c r="G35" s="54"/>
      <c r="H35" s="32" t="str">
        <f>IF(COUNTA(A35:E35)+COUNTA(G35)+COUNTA(I35)=0,"",IF(OR(A35="",B35="",C35="",I35=""),"必須欄不足",IF(AND(A35&lt;&gt;"案件共通",COUNTIFS('見積入力'!$A$16:$A$25,A35)&lt;&gt;1),"ID未登録・重複",IF(OR(AND(I35&lt;&gt;"数量連動",I35&lt;&gt;"一式"),AND(A35="案件共通",I35&lt;&gt;"一式")),"数量の扱い確認",IF(OR(NOT(ISNUMBER(D35)),NOT(ISNUMBER(K35)),AND(B35&lt;&gt;"生産原価",E35=""),D35="",NOT(ISNUMBER(J35))),"数値を入力",IF(OR(D35&lt;0,K35&lt;0,J35&lt;=0),"負数・数量確認","OK"))))))</f>
      </c>
      <c r="I35" s="51"/>
      <c r="J35" s="2" t="str">
        <f>IF(A35="","",IF(I35="一式",1,IFERROR(INDEX('見積入力'!$D$16:$D$25,MATCH(A35,'見積入力'!$A$16:$A$25,0)),"ID未登録")))</f>
      </c>
      <c r="K35" s="24" t="str">
        <f>IF(A35="","",IF(B35="生産原価",$B$9,E35))</f>
      </c>
    </row>
    <row r="36" ht="30" customHeight="1">
      <c r="A36" s="51"/>
      <c r="B36" s="51"/>
      <c r="C36" s="51"/>
      <c r="D36" s="57"/>
      <c r="E36" s="57"/>
      <c r="F36" s="14" t="str">
        <f>IF(H36="OK",ROUND(D36*K36*J36,0),"")</f>
      </c>
      <c r="G36" s="54"/>
      <c r="H36" s="32" t="str">
        <f>IF(COUNTA(A36:E36)+COUNTA(G36)+COUNTA(I36)=0,"",IF(OR(A36="",B36="",C36="",I36=""),"必須欄不足",IF(AND(A36&lt;&gt;"案件共通",COUNTIFS('見積入力'!$A$16:$A$25,A36)&lt;&gt;1),"ID未登録・重複",IF(OR(AND(I36&lt;&gt;"数量連動",I36&lt;&gt;"一式"),AND(A36="案件共通",I36&lt;&gt;"一式")),"数量の扱い確認",IF(OR(NOT(ISNUMBER(D36)),NOT(ISNUMBER(K36)),AND(B36&lt;&gt;"生産原価",E36=""),D36="",NOT(ISNUMBER(J36))),"数値を入力",IF(OR(D36&lt;0,K36&lt;0,J36&lt;=0),"負数・数量確認","OK"))))))</f>
      </c>
      <c r="I36" s="51"/>
      <c r="J36" s="2" t="str">
        <f>IF(A36="","",IF(I36="一式",1,IFERROR(INDEX('見積入力'!$D$16:$D$25,MATCH(A36,'見積入力'!$A$16:$A$25,0)),"ID未登録")))</f>
      </c>
      <c r="K36" s="24" t="str">
        <f>IF(A36="","",IF(B36="生産原価",$B$9,E36))</f>
      </c>
    </row>
    <row r="37" ht="30" customHeight="1">
      <c r="A37" s="51"/>
      <c r="B37" s="51"/>
      <c r="C37" s="51"/>
      <c r="D37" s="57"/>
      <c r="E37" s="57"/>
      <c r="F37" s="14" t="str">
        <f>IF(H37="OK",ROUND(D37*K37*J37,0),"")</f>
      </c>
      <c r="G37" s="54"/>
      <c r="H37" s="32" t="str">
        <f>IF(COUNTA(A37:E37)+COUNTA(G37)+COUNTA(I37)=0,"",IF(OR(A37="",B37="",C37="",I37=""),"必須欄不足",IF(AND(A37&lt;&gt;"案件共通",COUNTIFS('見積入力'!$A$16:$A$25,A37)&lt;&gt;1),"ID未登録・重複",IF(OR(AND(I37&lt;&gt;"数量連動",I37&lt;&gt;"一式"),AND(A37="案件共通",I37&lt;&gt;"一式")),"数量の扱い確認",IF(OR(NOT(ISNUMBER(D37)),NOT(ISNUMBER(K37)),AND(B37&lt;&gt;"生産原価",E37=""),D37="",NOT(ISNUMBER(J37))),"数値を入力",IF(OR(D37&lt;0,K37&lt;0,J37&lt;=0),"負数・数量確認","OK"))))))</f>
      </c>
      <c r="I37" s="51"/>
      <c r="J37" s="2" t="str">
        <f>IF(A37="","",IF(I37="一式",1,IFERROR(INDEX('見積入力'!$D$16:$D$25,MATCH(A37,'見積入力'!$A$16:$A$25,0)),"ID未登録")))</f>
      </c>
      <c r="K37" s="24" t="str">
        <f>IF(A37="","",IF(B37="生産原価",$B$9,E37))</f>
      </c>
    </row>
    <row r="38" ht="30" customHeight="1">
      <c r="A38" s="51"/>
      <c r="B38" s="51"/>
      <c r="C38" s="51"/>
      <c r="D38" s="57"/>
      <c r="E38" s="57"/>
      <c r="F38" s="14" t="str">
        <f>IF(H38="OK",ROUND(D38*K38*J38,0),"")</f>
      </c>
      <c r="G38" s="54"/>
      <c r="H38" s="32" t="str">
        <f>IF(COUNTA(A38:E38)+COUNTA(G38)+COUNTA(I38)=0,"",IF(OR(A38="",B38="",C38="",I38=""),"必須欄不足",IF(AND(A38&lt;&gt;"案件共通",COUNTIFS('見積入力'!$A$16:$A$25,A38)&lt;&gt;1),"ID未登録・重複",IF(OR(AND(I38&lt;&gt;"数量連動",I38&lt;&gt;"一式"),AND(A38="案件共通",I38&lt;&gt;"一式")),"数量の扱い確認",IF(OR(NOT(ISNUMBER(D38)),NOT(ISNUMBER(K38)),AND(B38&lt;&gt;"生産原価",E38=""),D38="",NOT(ISNUMBER(J38))),"数値を入力",IF(OR(D38&lt;0,K38&lt;0,J38&lt;=0),"負数・数量確認","OK"))))))</f>
      </c>
      <c r="I38" s="51"/>
      <c r="J38" s="2" t="str">
        <f>IF(A38="","",IF(I38="一式",1,IFERROR(INDEX('見積入力'!$D$16:$D$25,MATCH(A38,'見積入力'!$A$16:$A$25,0)),"ID未登録")))</f>
      </c>
      <c r="K38" s="24" t="str">
        <f>IF(A38="","",IF(B38="生産原価",$B$9,E38))</f>
      </c>
    </row>
    <row r="39" ht="30" customHeight="1">
      <c r="A39" s="51"/>
      <c r="B39" s="51"/>
      <c r="C39" s="51"/>
      <c r="D39" s="57"/>
      <c r="E39" s="57"/>
      <c r="F39" s="14" t="str">
        <f>IF(H39="OK",ROUND(D39*K39*J39,0),"")</f>
      </c>
      <c r="G39" s="54"/>
      <c r="H39" s="32" t="str">
        <f>IF(COUNTA(A39:E39)+COUNTA(G39)+COUNTA(I39)=0,"",IF(OR(A39="",B39="",C39="",I39=""),"必須欄不足",IF(AND(A39&lt;&gt;"案件共通",COUNTIFS('見積入力'!$A$16:$A$25,A39)&lt;&gt;1),"ID未登録・重複",IF(OR(AND(I39&lt;&gt;"数量連動",I39&lt;&gt;"一式"),AND(A39="案件共通",I39&lt;&gt;"一式")),"数量の扱い確認",IF(OR(NOT(ISNUMBER(D39)),NOT(ISNUMBER(K39)),AND(B39&lt;&gt;"生産原価",E39=""),D39="",NOT(ISNUMBER(J39))),"数値を入力",IF(OR(D39&lt;0,K39&lt;0,J39&lt;=0),"負数・数量確認","OK"))))))</f>
      </c>
      <c r="I39" s="51"/>
      <c r="J39" s="2" t="str">
        <f>IF(A39="","",IF(I39="一式",1,IFERROR(INDEX('見積入力'!$D$16:$D$25,MATCH(A39,'見積入力'!$A$16:$A$25,0)),"ID未登録")))</f>
      </c>
      <c r="K39" s="24" t="str">
        <f>IF(A39="","",IF(B39="生産原価",$B$9,E39))</f>
      </c>
    </row>
    <row r="40" ht="30" customHeight="1">
      <c r="A40" s="51"/>
      <c r="B40" s="51"/>
      <c r="C40" s="51"/>
      <c r="D40" s="57"/>
      <c r="E40" s="57"/>
      <c r="F40" s="14" t="str">
        <f>IF(H40="OK",ROUND(D40*K40*J40,0),"")</f>
      </c>
      <c r="G40" s="54"/>
      <c r="H40" s="32" t="str">
        <f>IF(COUNTA(A40:E40)+COUNTA(G40)+COUNTA(I40)=0,"",IF(OR(A40="",B40="",C40="",I40=""),"必須欄不足",IF(AND(A40&lt;&gt;"案件共通",COUNTIFS('見積入力'!$A$16:$A$25,A40)&lt;&gt;1),"ID未登録・重複",IF(OR(AND(I40&lt;&gt;"数量連動",I40&lt;&gt;"一式"),AND(A40="案件共通",I40&lt;&gt;"一式")),"数量の扱い確認",IF(OR(NOT(ISNUMBER(D40)),NOT(ISNUMBER(K40)),AND(B40&lt;&gt;"生産原価",E40=""),D40="",NOT(ISNUMBER(J40))),"数値を入力",IF(OR(D40&lt;0,K40&lt;0,J40&lt;=0),"負数・数量確認","OK"))))))</f>
      </c>
      <c r="I40" s="51"/>
      <c r="J40" s="2" t="str">
        <f>IF(A40="","",IF(I40="一式",1,IFERROR(INDEX('見積入力'!$D$16:$D$25,MATCH(A40,'見積入力'!$A$16:$A$25,0)),"ID未登録")))</f>
      </c>
      <c r="K40" s="24" t="str">
        <f>IF(A40="","",IF(B40="生産原価",$B$9,E40))</f>
      </c>
    </row>
    <row r="41" ht="30" customHeight="1">
      <c r="A41" s="51"/>
      <c r="B41" s="51"/>
      <c r="C41" s="51"/>
      <c r="D41" s="57"/>
      <c r="E41" s="57"/>
      <c r="F41" s="14" t="str">
        <f>IF(H41="OK",ROUND(D41*K41*J41,0),"")</f>
      </c>
      <c r="G41" s="54"/>
      <c r="H41" s="32" t="str">
        <f>IF(COUNTA(A41:E41)+COUNTA(G41)+COUNTA(I41)=0,"",IF(OR(A41="",B41="",C41="",I41=""),"必須欄不足",IF(AND(A41&lt;&gt;"案件共通",COUNTIFS('見積入力'!$A$16:$A$25,A41)&lt;&gt;1),"ID未登録・重複",IF(OR(AND(I41&lt;&gt;"数量連動",I41&lt;&gt;"一式"),AND(A41="案件共通",I41&lt;&gt;"一式")),"数量の扱い確認",IF(OR(NOT(ISNUMBER(D41)),NOT(ISNUMBER(K41)),AND(B41&lt;&gt;"生産原価",E41=""),D41="",NOT(ISNUMBER(J41))),"数値を入力",IF(OR(D41&lt;0,K41&lt;0,J41&lt;=0),"負数・数量確認","OK"))))))</f>
      </c>
      <c r="I41" s="51"/>
      <c r="J41" s="2" t="str">
        <f>IF(A41="","",IF(I41="一式",1,IFERROR(INDEX('見積入力'!$D$16:$D$25,MATCH(A41,'見積入力'!$A$16:$A$25,0)),"ID未登録")))</f>
      </c>
      <c r="K41" s="24" t="str">
        <f>IF(A41="","",IF(B41="生産原価",$B$9,E41))</f>
      </c>
    </row>
    <row r="42" ht="30" customHeight="1">
      <c r="A42" s="51"/>
      <c r="B42" s="51"/>
      <c r="C42" s="51"/>
      <c r="D42" s="57"/>
      <c r="E42" s="57"/>
      <c r="F42" s="14" t="str">
        <f>IF(H42="OK",ROUND(D42*K42*J42,0),"")</f>
      </c>
      <c r="G42" s="54"/>
      <c r="H42" s="32" t="str">
        <f>IF(COUNTA(A42:E42)+COUNTA(G42)+COUNTA(I42)=0,"",IF(OR(A42="",B42="",C42="",I42=""),"必須欄不足",IF(AND(A42&lt;&gt;"案件共通",COUNTIFS('見積入力'!$A$16:$A$25,A42)&lt;&gt;1),"ID未登録・重複",IF(OR(AND(I42&lt;&gt;"数量連動",I42&lt;&gt;"一式"),AND(A42="案件共通",I42&lt;&gt;"一式")),"数量の扱い確認",IF(OR(NOT(ISNUMBER(D42)),NOT(ISNUMBER(K42)),AND(B42&lt;&gt;"生産原価",E42=""),D42="",NOT(ISNUMBER(J42))),"数値を入力",IF(OR(D42&lt;0,K42&lt;0,J42&lt;=0),"負数・数量確認","OK"))))))</f>
      </c>
      <c r="I42" s="51"/>
      <c r="J42" s="2" t="str">
        <f>IF(A42="","",IF(I42="一式",1,IFERROR(INDEX('見積入力'!$D$16:$D$25,MATCH(A42,'見積入力'!$A$16:$A$25,0)),"ID未登録")))</f>
      </c>
      <c r="K42" s="24" t="str">
        <f>IF(A42="","",IF(B42="生産原価",$B$9,E42))</f>
      </c>
    </row>
    <row r="43" ht="30" customHeight="1">
      <c r="A43" s="51"/>
      <c r="B43" s="51"/>
      <c r="C43" s="51"/>
      <c r="D43" s="57"/>
      <c r="E43" s="57"/>
      <c r="F43" s="14" t="str">
        <f>IF(H43="OK",ROUND(D43*K43*J43,0),"")</f>
      </c>
      <c r="G43" s="54"/>
      <c r="H43" s="32" t="str">
        <f>IF(COUNTA(A43:E43)+COUNTA(G43)+COUNTA(I43)=0,"",IF(OR(A43="",B43="",C43="",I43=""),"必須欄不足",IF(AND(A43&lt;&gt;"案件共通",COUNTIFS('見積入力'!$A$16:$A$25,A43)&lt;&gt;1),"ID未登録・重複",IF(OR(AND(I43&lt;&gt;"数量連動",I43&lt;&gt;"一式"),AND(A43="案件共通",I43&lt;&gt;"一式")),"数量の扱い確認",IF(OR(NOT(ISNUMBER(D43)),NOT(ISNUMBER(K43)),AND(B43&lt;&gt;"生産原価",E43=""),D43="",NOT(ISNUMBER(J43))),"数値を入力",IF(OR(D43&lt;0,K43&lt;0,J43&lt;=0),"負数・数量確認","OK"))))))</f>
      </c>
      <c r="I43" s="51"/>
      <c r="J43" s="2" t="str">
        <f>IF(A43="","",IF(I43="一式",1,IFERROR(INDEX('見積入力'!$D$16:$D$25,MATCH(A43,'見積入力'!$A$16:$A$25,0)),"ID未登録")))</f>
      </c>
      <c r="K43" s="24" t="str">
        <f>IF(A43="","",IF(B43="生産原価",$B$9,E43))</f>
      </c>
    </row>
    <row r="44" ht="30" customHeight="1">
      <c r="A44" s="51"/>
      <c r="B44" s="51"/>
      <c r="C44" s="51"/>
      <c r="D44" s="57"/>
      <c r="E44" s="57"/>
      <c r="F44" s="14" t="str">
        <f>IF(H44="OK",ROUND(D44*K44*J44,0),"")</f>
      </c>
      <c r="G44" s="54"/>
      <c r="H44" s="32" t="str">
        <f>IF(COUNTA(A44:E44)+COUNTA(G44)+COUNTA(I44)=0,"",IF(OR(A44="",B44="",C44="",I44=""),"必須欄不足",IF(AND(A44&lt;&gt;"案件共通",COUNTIFS('見積入力'!$A$16:$A$25,A44)&lt;&gt;1),"ID未登録・重複",IF(OR(AND(I44&lt;&gt;"数量連動",I44&lt;&gt;"一式"),AND(A44="案件共通",I44&lt;&gt;"一式")),"数量の扱い確認",IF(OR(NOT(ISNUMBER(D44)),NOT(ISNUMBER(K44)),AND(B44&lt;&gt;"生産原価",E44=""),D44="",NOT(ISNUMBER(J44))),"数値を入力",IF(OR(D44&lt;0,K44&lt;0,J44&lt;=0),"負数・数量確認","OK"))))))</f>
      </c>
      <c r="I44" s="51"/>
      <c r="J44" s="2" t="str">
        <f>IF(A44="","",IF(I44="一式",1,IFERROR(INDEX('見積入力'!$D$16:$D$25,MATCH(A44,'見積入力'!$A$16:$A$25,0)),"ID未登録")))</f>
      </c>
      <c r="K44" s="24" t="str">
        <f>IF(A44="","",IF(B44="生産原価",$B$9,E44))</f>
      </c>
    </row>
    <row r="45" ht="30" customHeight="1">
      <c r="A45" s="51"/>
      <c r="B45" s="51"/>
      <c r="C45" s="51"/>
      <c r="D45" s="57"/>
      <c r="E45" s="57"/>
      <c r="F45" s="14" t="str">
        <f>IF(H45="OK",ROUND(D45*K45*J45,0),"")</f>
      </c>
      <c r="G45" s="54"/>
      <c r="H45" s="32" t="str">
        <f>IF(COUNTA(A45:E45)+COUNTA(G45)+COUNTA(I45)=0,"",IF(OR(A45="",B45="",C45="",I45=""),"必須欄不足",IF(AND(A45&lt;&gt;"案件共通",COUNTIFS('見積入力'!$A$16:$A$25,A45)&lt;&gt;1),"ID未登録・重複",IF(OR(AND(I45&lt;&gt;"数量連動",I45&lt;&gt;"一式"),AND(A45="案件共通",I45&lt;&gt;"一式")),"数量の扱い確認",IF(OR(NOT(ISNUMBER(D45)),NOT(ISNUMBER(K45)),AND(B45&lt;&gt;"生産原価",E45=""),D45="",NOT(ISNUMBER(J45))),"数値を入力",IF(OR(D45&lt;0,K45&lt;0,J45&lt;=0),"負数・数量確認","OK"))))))</f>
      </c>
      <c r="I45" s="51"/>
      <c r="J45" s="2" t="str">
        <f>IF(A45="","",IF(I45="一式",1,IFERROR(INDEX('見積入力'!$D$16:$D$25,MATCH(A45,'見積入力'!$A$16:$A$25,0)),"ID未登録")))</f>
      </c>
      <c r="K45" s="24" t="str">
        <f>IF(A45="","",IF(B45="生産原価",$B$9,E45))</f>
      </c>
    </row>
    <row r="46" ht="30" customHeight="1">
      <c r="A46" s="51"/>
      <c r="B46" s="51"/>
      <c r="C46" s="51"/>
      <c r="D46" s="57"/>
      <c r="E46" s="57"/>
      <c r="F46" s="14" t="str">
        <f>IF(H46="OK",ROUND(D46*K46*J46,0),"")</f>
      </c>
      <c r="G46" s="54"/>
      <c r="H46" s="32" t="str">
        <f>IF(COUNTA(A46:E46)+COUNTA(G46)+COUNTA(I46)=0,"",IF(OR(A46="",B46="",C46="",I46=""),"必須欄不足",IF(AND(A46&lt;&gt;"案件共通",COUNTIFS('見積入力'!$A$16:$A$25,A46)&lt;&gt;1),"ID未登録・重複",IF(OR(AND(I46&lt;&gt;"数量連動",I46&lt;&gt;"一式"),AND(A46="案件共通",I46&lt;&gt;"一式")),"数量の扱い確認",IF(OR(NOT(ISNUMBER(D46)),NOT(ISNUMBER(K46)),AND(B46&lt;&gt;"生産原価",E46=""),D46="",NOT(ISNUMBER(J46))),"数値を入力",IF(OR(D46&lt;0,K46&lt;0,J46&lt;=0),"負数・数量確認","OK"))))))</f>
      </c>
      <c r="I46" s="51"/>
      <c r="J46" s="2" t="str">
        <f>IF(A46="","",IF(I46="一式",1,IFERROR(INDEX('見積入力'!$D$16:$D$25,MATCH(A46,'見積入力'!$A$16:$A$25,0)),"ID未登録")))</f>
      </c>
      <c r="K46" s="24" t="str">
        <f>IF(A46="","",IF(B46="生産原価",$B$9,E46))</f>
      </c>
    </row>
    <row r="47" ht="30" customHeight="1">
      <c r="A47" s="51"/>
      <c r="B47" s="51"/>
      <c r="C47" s="51"/>
      <c r="D47" s="57"/>
      <c r="E47" s="57"/>
      <c r="F47" s="14" t="str">
        <f>IF(H47="OK",ROUND(D47*K47*J47,0),"")</f>
      </c>
      <c r="G47" s="54"/>
      <c r="H47" s="32" t="str">
        <f>IF(COUNTA(A47:E47)+COUNTA(G47)+COUNTA(I47)=0,"",IF(OR(A47="",B47="",C47="",I47=""),"必須欄不足",IF(AND(A47&lt;&gt;"案件共通",COUNTIFS('見積入力'!$A$16:$A$25,A47)&lt;&gt;1),"ID未登録・重複",IF(OR(AND(I47&lt;&gt;"数量連動",I47&lt;&gt;"一式"),AND(A47="案件共通",I47&lt;&gt;"一式")),"数量の扱い確認",IF(OR(NOT(ISNUMBER(D47)),NOT(ISNUMBER(K47)),AND(B47&lt;&gt;"生産原価",E47=""),D47="",NOT(ISNUMBER(J47))),"数値を入力",IF(OR(D47&lt;0,K47&lt;0,J47&lt;=0),"負数・数量確認","OK"))))))</f>
      </c>
      <c r="I47" s="51"/>
      <c r="J47" s="2" t="str">
        <f>IF(A47="","",IF(I47="一式",1,IFERROR(INDEX('見積入力'!$D$16:$D$25,MATCH(A47,'見積入力'!$A$16:$A$25,0)),"ID未登録")))</f>
      </c>
      <c r="K47" s="24" t="str">
        <f>IF(A47="","",IF(B47="生産原価",$B$9,E47))</f>
      </c>
    </row>
    <row r="48" ht="30" customHeight="1">
      <c r="A48" s="51"/>
      <c r="B48" s="51"/>
      <c r="C48" s="51"/>
      <c r="D48" s="57"/>
      <c r="E48" s="57"/>
      <c r="F48" s="14" t="str">
        <f>IF(H48="OK",ROUND(D48*K48*J48,0),"")</f>
      </c>
      <c r="G48" s="54"/>
      <c r="H48" s="32" t="str">
        <f>IF(COUNTA(A48:E48)+COUNTA(G48)+COUNTA(I48)=0,"",IF(OR(A48="",B48="",C48="",I48=""),"必須欄不足",IF(AND(A48&lt;&gt;"案件共通",COUNTIFS('見積入力'!$A$16:$A$25,A48)&lt;&gt;1),"ID未登録・重複",IF(OR(AND(I48&lt;&gt;"数量連動",I48&lt;&gt;"一式"),AND(A48="案件共通",I48&lt;&gt;"一式")),"数量の扱い確認",IF(OR(NOT(ISNUMBER(D48)),NOT(ISNUMBER(K48)),AND(B48&lt;&gt;"生産原価",E48=""),D48="",NOT(ISNUMBER(J48))),"数値を入力",IF(OR(D48&lt;0,K48&lt;0,J48&lt;=0),"負数・数量確認","OK"))))))</f>
      </c>
      <c r="I48" s="51"/>
      <c r="J48" s="2" t="str">
        <f>IF(A48="","",IF(I48="一式",1,IFERROR(INDEX('見積入力'!$D$16:$D$25,MATCH(A48,'見積入力'!$A$16:$A$25,0)),"ID未登録")))</f>
      </c>
      <c r="K48" s="24" t="str">
        <f>IF(A48="","",IF(B48="生産原価",$B$9,E48))</f>
      </c>
    </row>
    <row r="49" ht="30" customHeight="1">
      <c r="A49" s="51"/>
      <c r="B49" s="51"/>
      <c r="C49" s="51"/>
      <c r="D49" s="57"/>
      <c r="E49" s="57"/>
      <c r="F49" s="14" t="str">
        <f>IF(H49="OK",ROUND(D49*K49*J49,0),"")</f>
      </c>
      <c r="G49" s="54"/>
      <c r="H49" s="32" t="str">
        <f>IF(COUNTA(A49:E49)+COUNTA(G49)+COUNTA(I49)=0,"",IF(OR(A49="",B49="",C49="",I49=""),"必須欄不足",IF(AND(A49&lt;&gt;"案件共通",COUNTIFS('見積入力'!$A$16:$A$25,A49)&lt;&gt;1),"ID未登録・重複",IF(OR(AND(I49&lt;&gt;"数量連動",I49&lt;&gt;"一式"),AND(A49="案件共通",I49&lt;&gt;"一式")),"数量の扱い確認",IF(OR(NOT(ISNUMBER(D49)),NOT(ISNUMBER(K49)),AND(B49&lt;&gt;"生産原価",E49=""),D49="",NOT(ISNUMBER(J49))),"数値を入力",IF(OR(D49&lt;0,K49&lt;0,J49&lt;=0),"負数・数量確認","OK"))))))</f>
      </c>
      <c r="I49" s="51"/>
      <c r="J49" s="2" t="str">
        <f>IF(A49="","",IF(I49="一式",1,IFERROR(INDEX('見積入力'!$D$16:$D$25,MATCH(A49,'見積入力'!$A$16:$A$25,0)),"ID未登録")))</f>
      </c>
      <c r="K49" s="24" t="str">
        <f>IF(A49="","",IF(B49="生産原価",$B$9,E49))</f>
      </c>
    </row>
    <row r="50" ht="30" customHeight="1">
      <c r="A50" s="51"/>
      <c r="B50" s="51"/>
      <c r="C50" s="51"/>
      <c r="D50" s="57"/>
      <c r="E50" s="57"/>
      <c r="F50" s="14" t="str">
        <f>IF(H50="OK",ROUND(D50*K50*J50,0),"")</f>
      </c>
      <c r="G50" s="54"/>
      <c r="H50" s="32" t="str">
        <f>IF(COUNTA(A50:E50)+COUNTA(G50)+COUNTA(I50)=0,"",IF(OR(A50="",B50="",C50="",I50=""),"必須欄不足",IF(AND(A50&lt;&gt;"案件共通",COUNTIFS('見積入力'!$A$16:$A$25,A50)&lt;&gt;1),"ID未登録・重複",IF(OR(AND(I50&lt;&gt;"数量連動",I50&lt;&gt;"一式"),AND(A50="案件共通",I50&lt;&gt;"一式")),"数量の扱い確認",IF(OR(NOT(ISNUMBER(D50)),NOT(ISNUMBER(K50)),AND(B50&lt;&gt;"生産原価",E50=""),D50="",NOT(ISNUMBER(J50))),"数値を入力",IF(OR(D50&lt;0,K50&lt;0,J50&lt;=0),"負数・数量確認","OK"))))))</f>
      </c>
      <c r="I50" s="51"/>
      <c r="J50" s="2" t="str">
        <f>IF(A50="","",IF(I50="一式",1,IFERROR(INDEX('見積入力'!$D$16:$D$25,MATCH(A50,'見積入力'!$A$16:$A$25,0)),"ID未登録")))</f>
      </c>
      <c r="K50" s="24" t="str">
        <f>IF(A50="","",IF(B50="生産原価",$B$9,E50))</f>
      </c>
    </row>
    <row r="51" ht="30" customHeight="1">
      <c r="A51" s="51"/>
      <c r="B51" s="51"/>
      <c r="C51" s="51"/>
      <c r="D51" s="57"/>
      <c r="E51" s="57"/>
      <c r="F51" s="14" t="str">
        <f>IF(H51="OK",ROUND(D51*K51*J51,0),"")</f>
      </c>
      <c r="G51" s="54"/>
      <c r="H51" s="32" t="str">
        <f>IF(COUNTA(A51:E51)+COUNTA(G51)+COUNTA(I51)=0,"",IF(OR(A51="",B51="",C51="",I51=""),"必須欄不足",IF(AND(A51&lt;&gt;"案件共通",COUNTIFS('見積入力'!$A$16:$A$25,A51)&lt;&gt;1),"ID未登録・重複",IF(OR(AND(I51&lt;&gt;"数量連動",I51&lt;&gt;"一式"),AND(A51="案件共通",I51&lt;&gt;"一式")),"数量の扱い確認",IF(OR(NOT(ISNUMBER(D51)),NOT(ISNUMBER(K51)),AND(B51&lt;&gt;"生産原価",E51=""),D51="",NOT(ISNUMBER(J51))),"数値を入力",IF(OR(D51&lt;0,K51&lt;0,J51&lt;=0),"負数・数量確認","OK"))))))</f>
      </c>
      <c r="I51" s="51"/>
      <c r="J51" s="2" t="str">
        <f>IF(A51="","",IF(I51="一式",1,IFERROR(INDEX('見積入力'!$D$16:$D$25,MATCH(A51,'見積入力'!$A$16:$A$25,0)),"ID未登録")))</f>
      </c>
      <c r="K51" s="24" t="str">
        <f>IF(A51="","",IF(B51="生産原価",$B$9,E51))</f>
      </c>
    </row>
    <row r="52" ht="30" customHeight="1">
      <c r="A52" s="51"/>
      <c r="B52" s="51"/>
      <c r="C52" s="51"/>
      <c r="D52" s="57"/>
      <c r="E52" s="57"/>
      <c r="F52" s="14" t="str">
        <f>IF(H52="OK",ROUND(D52*K52*J52,0),"")</f>
      </c>
      <c r="G52" s="54"/>
      <c r="H52" s="32" t="str">
        <f>IF(COUNTA(A52:E52)+COUNTA(G52)+COUNTA(I52)=0,"",IF(OR(A52="",B52="",C52="",I52=""),"必須欄不足",IF(AND(A52&lt;&gt;"案件共通",COUNTIFS('見積入力'!$A$16:$A$25,A52)&lt;&gt;1),"ID未登録・重複",IF(OR(AND(I52&lt;&gt;"数量連動",I52&lt;&gt;"一式"),AND(A52="案件共通",I52&lt;&gt;"一式")),"数量の扱い確認",IF(OR(NOT(ISNUMBER(D52)),NOT(ISNUMBER(K52)),AND(B52&lt;&gt;"生産原価",E52=""),D52="",NOT(ISNUMBER(J52))),"数値を入力",IF(OR(D52&lt;0,K52&lt;0,J52&lt;=0),"負数・数量確認","OK"))))))</f>
      </c>
      <c r="I52" s="51"/>
      <c r="J52" s="2" t="str">
        <f>IF(A52="","",IF(I52="一式",1,IFERROR(INDEX('見積入力'!$D$16:$D$25,MATCH(A52,'見積入力'!$A$16:$A$25,0)),"ID未登録")))</f>
      </c>
      <c r="K52" s="24" t="str">
        <f>IF(A52="","",IF(B52="生産原価",$B$9,E52))</f>
      </c>
    </row>
    <row r="53" ht="30" customHeight="1">
      <c r="A53" s="51"/>
      <c r="B53" s="51"/>
      <c r="C53" s="51"/>
      <c r="D53" s="57"/>
      <c r="E53" s="57"/>
      <c r="F53" s="14" t="str">
        <f>IF(H53="OK",ROUND(D53*K53*J53,0),"")</f>
      </c>
      <c r="G53" s="54"/>
      <c r="H53" s="32" t="str">
        <f>IF(COUNTA(A53:E53)+COUNTA(G53)+COUNTA(I53)=0,"",IF(OR(A53="",B53="",C53="",I53=""),"必須欄不足",IF(AND(A53&lt;&gt;"案件共通",COUNTIFS('見積入力'!$A$16:$A$25,A53)&lt;&gt;1),"ID未登録・重複",IF(OR(AND(I53&lt;&gt;"数量連動",I53&lt;&gt;"一式"),AND(A53="案件共通",I53&lt;&gt;"一式")),"数量の扱い確認",IF(OR(NOT(ISNUMBER(D53)),NOT(ISNUMBER(K53)),AND(B53&lt;&gt;"生産原価",E53=""),D53="",NOT(ISNUMBER(J53))),"数値を入力",IF(OR(D53&lt;0,K53&lt;0,J53&lt;=0),"負数・数量確認","OK"))))))</f>
      </c>
      <c r="I53" s="51"/>
      <c r="J53" s="2" t="str">
        <f>IF(A53="","",IF(I53="一式",1,IFERROR(INDEX('見積入力'!$D$16:$D$25,MATCH(A53,'見積入力'!$A$16:$A$25,0)),"ID未登録")))</f>
      </c>
      <c r="K53" s="24" t="str">
        <f>IF(A53="","",IF(B53="生産原価",$B$9,E53))</f>
      </c>
    </row>
    <row r="54" ht="30" customHeight="1">
      <c r="A54" s="51"/>
      <c r="B54" s="51"/>
      <c r="C54" s="51"/>
      <c r="D54" s="57"/>
      <c r="E54" s="57"/>
      <c r="F54" s="14" t="str">
        <f>IF(H54="OK",ROUND(D54*K54*J54,0),"")</f>
      </c>
      <c r="G54" s="54"/>
      <c r="H54" s="32" t="str">
        <f>IF(COUNTA(A54:E54)+COUNTA(G54)+COUNTA(I54)=0,"",IF(OR(A54="",B54="",C54="",I54=""),"必須欄不足",IF(AND(A54&lt;&gt;"案件共通",COUNTIFS('見積入力'!$A$16:$A$25,A54)&lt;&gt;1),"ID未登録・重複",IF(OR(AND(I54&lt;&gt;"数量連動",I54&lt;&gt;"一式"),AND(A54="案件共通",I54&lt;&gt;"一式")),"数量の扱い確認",IF(OR(NOT(ISNUMBER(D54)),NOT(ISNUMBER(K54)),AND(B54&lt;&gt;"生産原価",E54=""),D54="",NOT(ISNUMBER(J54))),"数値を入力",IF(OR(D54&lt;0,K54&lt;0,J54&lt;=0),"負数・数量確認","OK"))))))</f>
      </c>
      <c r="I54" s="51"/>
      <c r="J54" s="2" t="str">
        <f>IF(A54="","",IF(I54="一式",1,IFERROR(INDEX('見積入力'!$D$16:$D$25,MATCH(A54,'見積入力'!$A$16:$A$25,0)),"ID未登録")))</f>
      </c>
      <c r="K54" s="24" t="str">
        <f>IF(A54="","",IF(B54="生産原価",$B$9,E54))</f>
      </c>
    </row>
    <row r="55" ht="30" customHeight="1">
      <c r="A55" s="51"/>
      <c r="B55" s="51"/>
      <c r="C55" s="51"/>
      <c r="D55" s="57"/>
      <c r="E55" s="57"/>
      <c r="F55" s="14" t="str">
        <f>IF(H55="OK",ROUND(D55*K55*J55,0),"")</f>
      </c>
      <c r="G55" s="54"/>
      <c r="H55" s="32" t="str">
        <f>IF(COUNTA(A55:E55)+COUNTA(G55)+COUNTA(I55)=0,"",IF(OR(A55="",B55="",C55="",I55=""),"必須欄不足",IF(AND(A55&lt;&gt;"案件共通",COUNTIFS('見積入力'!$A$16:$A$25,A55)&lt;&gt;1),"ID未登録・重複",IF(OR(AND(I55&lt;&gt;"数量連動",I55&lt;&gt;"一式"),AND(A55="案件共通",I55&lt;&gt;"一式")),"数量の扱い確認",IF(OR(NOT(ISNUMBER(D55)),NOT(ISNUMBER(K55)),AND(B55&lt;&gt;"生産原価",E55=""),D55="",NOT(ISNUMBER(J55))),"数値を入力",IF(OR(D55&lt;0,K55&lt;0,J55&lt;=0),"負数・数量確認","OK"))))))</f>
      </c>
      <c r="I55" s="51"/>
      <c r="J55" s="2" t="str">
        <f>IF(A55="","",IF(I55="一式",1,IFERROR(INDEX('見積入力'!$D$16:$D$25,MATCH(A55,'見積入力'!$A$16:$A$25,0)),"ID未登録")))</f>
      </c>
      <c r="K55" s="24" t="str">
        <f>IF(A55="","",IF(B55="生産原価",$B$9,E55))</f>
      </c>
    </row>
    <row r="5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</sheetData>
  <mergeCells>
    <mergeCell ref="A2:J2"/>
    <mergeCell ref="D4:J4"/>
    <mergeCell ref="A13:J13"/>
  </mergeCells>
  <conditionalFormatting sqref="H16:H55">
    <cfRule type="expression" dxfId="2" priority="1">
      <formula>AND(H16&lt;&gt;"",H16&lt;&gt;"OK")</formula>
    </cfRule>
  </conditionalFormatting>
  <dataValidations count="6">
    <dataValidation type="list" sqref="B11" showErrorMessage="1" errorStyle="stop" errorTitle="入力値を確認" error="指定された範囲・選択肢で入力してください。">
      <formula1>"計上済み,単価に含む,今回は未算入"</formula1>
    </dataValidation>
    <dataValidation type="decimal" operator="between" sqref="B7" showErrorMessage="1" errorStyle="stop" errorTitle="入力値を確認" error="指定された範囲・選択肢で入力してください。">
      <formula1>0.000001</formula1>
      <formula2>1000000000000</formula2>
    </dataValidation>
    <dataValidation type="decimal" operator="between" sqref="F5:F8" showErrorMessage="1" errorStyle="stop" errorTitle="入力値を確認" error="指定された範囲・選択肢で入力してください。">
      <formula1>0</formula1>
      <formula2>1000000000000</formula2>
    </dataValidation>
    <dataValidation type="decimal" operator="between" sqref="D16:E55" showErrorMessage="1" errorStyle="stop" errorTitle="入力値を確認" error="指定された範囲・選択肢で入力してください。">
      <formula1>0</formula1>
      <formula2>1000000000000</formula2>
    </dataValidation>
    <dataValidation type="list" sqref="I16:I55" showErrorMessage="1" errorStyle="stop" errorTitle="入力値を確認" error="指定された範囲・選択肢で入力してください。">
      <formula1>"数量連動,一式"</formula1>
    </dataValidation>
    <dataValidation type="list" sqref="B16:B55" showErrorMessage="1" errorStyle="stop" errorTitle="入力値を確認" error="指定された範囲・選択肢で入力してください。">
      <formula1>"材料,作業,外注,配送,共通経費,生産原価,その他"</formula1>
    </dataValidation>
  </dataValidations>
  <pageMargins left="0.7" right="0.7" top="0.75" bottom="0.75" header="0.3" footer="0.3"/>
  <legacyDrawing r:id="R0f2039c227664f1b"/>
</worksheet>
</file>

<file path=xl/worksheets/sheet6.xml><?xml version="1.0" encoding="utf-8"?>
<worksheet xmlns="http://schemas.openxmlformats.org/spreadsheetml/2006/main">
  <sheetPr>
    <tabColor rgb="FF07988A"/>
  </sheetPr>
  <sheetViews>
    <sheetView showGridLines="0" workbookViewId="0" zoomScale="80" zoomScaleNormal="100"/>
  </sheetViews>
  <sheetFormatPr defaultRowHeight="15"/>
  <cols>
    <col min="1" max="1" width="22" hidden="0" customWidth="1"/>
    <col min="2" max="2" width="21" hidden="0" customWidth="1"/>
    <col min="3" max="3" width="24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5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7" t="str">
        <v>設定</v>
      </c>
      <c r="B2" s="37"/>
      <c r="C2" s="37"/>
      <c r="D2" s="37"/>
      <c r="E2" s="37"/>
      <c r="F2" s="37"/>
      <c r="G2" s="37"/>
      <c r="H2" s="37"/>
      <c r="I2" s="37"/>
      <c r="J2" s="37"/>
      <c r="K2" s="2"/>
    </row>
    <row r="3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30" customHeight="1">
      <c r="A5" s="6" t="str">
        <v>業種</v>
      </c>
      <c r="B5" s="6" t="str">
        <v>原価シート名</v>
      </c>
      <c r="C5" s="2"/>
      <c r="D5" s="2"/>
      <c r="E5" s="2"/>
      <c r="F5" s="2"/>
      <c r="G5" s="2"/>
      <c r="H5" s="2"/>
      <c r="I5" s="2"/>
      <c r="J5" s="2"/>
      <c r="K5" s="2"/>
    </row>
    <row r="6" ht="24" customHeight="1">
      <c r="A6" s="51" t="str">
        <v>木工所</v>
      </c>
      <c r="B6" s="51" t="str">
        <v>原価(木工所)</v>
      </c>
      <c r="C6" s="2"/>
      <c r="D6" s="2"/>
      <c r="E6" s="2"/>
      <c r="F6" s="2"/>
      <c r="G6" s="2"/>
      <c r="H6" s="2"/>
      <c r="I6" s="2"/>
      <c r="J6" s="2"/>
      <c r="K6" s="2"/>
    </row>
    <row r="7" ht="24" customHeight="1">
      <c r="A7" s="51" t="str">
        <v>農家</v>
      </c>
      <c r="B7" s="51" t="str">
        <v>原価(農家)</v>
      </c>
      <c r="C7" s="2"/>
      <c r="D7" s="2"/>
      <c r="E7" s="2"/>
      <c r="F7" s="2"/>
      <c r="G7" s="2"/>
      <c r="H7" s="2"/>
      <c r="I7" s="2"/>
      <c r="J7" s="2"/>
      <c r="K7" s="2"/>
    </row>
    <row r="8" ht="24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ht="24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24" customHeight="1">
      <c r="A11" s="2" t="str">
        <v>自社名</v>
      </c>
      <c r="B11" s="51" t="str">
        <v>サンプル事業者</v>
      </c>
      <c r="C11" s="51"/>
      <c r="D11" s="51"/>
      <c r="E11" s="51"/>
      <c r="F11" s="51"/>
      <c r="G11" s="2"/>
      <c r="H11" s="2"/>
      <c r="I11" s="2"/>
      <c r="J11" s="2"/>
      <c r="K11" s="2"/>
    </row>
    <row r="12" ht="24" customHeight="1">
      <c r="A12" s="2" t="str">
        <v>住所</v>
      </c>
      <c r="B12" s="51" t="str">
        <v>住所を入力してください</v>
      </c>
      <c r="C12" s="51"/>
      <c r="D12" s="51"/>
      <c r="E12" s="51"/>
      <c r="F12" s="51"/>
      <c r="G12" s="2"/>
      <c r="H12" s="2"/>
      <c r="I12" s="2"/>
      <c r="J12" s="2"/>
      <c r="K12" s="2"/>
    </row>
    <row r="13" ht="24" customHeight="1">
      <c r="A13" s="2" t="str">
        <v>連絡先</v>
      </c>
      <c r="B13" s="51" t="str">
        <v>連絡先を入力してください</v>
      </c>
      <c r="C13" s="51"/>
      <c r="D13" s="51"/>
      <c r="E13" s="51"/>
      <c r="F13" s="51"/>
      <c r="G13" s="2"/>
      <c r="H13" s="2"/>
      <c r="I13" s="2"/>
      <c r="J13" s="2"/>
      <c r="K13" s="2"/>
    </row>
    <row r="14" ht="24" customHeight="1">
      <c r="A14" s="2" t="str">
        <v>担当者</v>
      </c>
      <c r="B14" s="51" t="str">
        <v>担当者名</v>
      </c>
      <c r="C14" s="51"/>
      <c r="D14" s="51"/>
      <c r="E14" s="51"/>
      <c r="F14" s="51"/>
      <c r="G14" s="2"/>
      <c r="H14" s="2"/>
      <c r="I14" s="2"/>
      <c r="J14" s="2"/>
      <c r="K14" s="2"/>
    </row>
    <row r="15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32" customHeight="1">
      <c r="A17" s="10" t="str">
        <v>業種を減らす場合：残す業種を選択 → この表の不要行を行ごと削除 → 不要な原価シートを削除。</v>
      </c>
      <c r="B17" s="10"/>
      <c r="C17" s="10"/>
      <c r="D17" s="10"/>
      <c r="E17" s="10"/>
      <c r="F17" s="10"/>
      <c r="G17" s="10"/>
      <c r="H17" s="10"/>
      <c r="I17" s="10"/>
      <c r="J17" s="10"/>
      <c r="K17" s="2"/>
    </row>
    <row r="18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32" customHeight="1">
      <c r="A19" s="10" t="str">
        <v>業種を減らす場合は不要な登録行を行ごと削除。シート保護・数式ロックは解除済みです。</v>
      </c>
      <c r="B19" s="10"/>
      <c r="C19" s="10"/>
      <c r="D19" s="10"/>
      <c r="E19" s="10"/>
      <c r="F19" s="10"/>
      <c r="G19" s="10"/>
      <c r="H19" s="10"/>
      <c r="I19" s="10"/>
      <c r="J19" s="10"/>
      <c r="K19" s="2"/>
    </row>
    <row r="20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2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2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</sheetData>
  <mergeCells>
    <mergeCell ref="A2:J2"/>
    <mergeCell ref="A17:J17"/>
    <mergeCell ref="A19:J19"/>
    <mergeCell ref="B11:F11"/>
    <mergeCell ref="B12:F12"/>
    <mergeCell ref="B13:F13"/>
    <mergeCell ref="B14:F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7988A"/>
  </sheetPr>
  <sheetViews>
    <sheetView showGridLines="0" workbookViewId="0" zoomScale="80" zoomScaleNormal="100"/>
  </sheetViews>
  <sheetFormatPr defaultRowHeight="15"/>
  <cols>
    <col min="1" max="1" width="22" hidden="0" customWidth="1"/>
    <col min="2" max="2" width="21" hidden="0" customWidth="1"/>
    <col min="3" max="3" width="24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5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7" t="str">
        <v>サンプル・入力例</v>
      </c>
      <c r="B2" s="37"/>
      <c r="C2" s="37"/>
      <c r="D2" s="37"/>
      <c r="E2" s="37"/>
      <c r="F2" s="37"/>
      <c r="G2" s="37"/>
      <c r="H2" s="37"/>
      <c r="I2" s="37"/>
      <c r="J2" s="37"/>
      <c r="K2" s="2"/>
    </row>
    <row r="3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>
      <c r="A4" s="10" t="str">
        <v>架空の記入例です。相場ではありません。このシートの数値は実際の見積に集計されません。</v>
      </c>
      <c r="B4" s="10"/>
      <c r="C4" s="10"/>
      <c r="D4" s="10"/>
      <c r="E4" s="10"/>
      <c r="F4" s="10"/>
      <c r="G4" s="10"/>
      <c r="H4" s="10"/>
      <c r="I4" s="10"/>
      <c r="J4" s="10"/>
      <c r="K4" s="2"/>
    </row>
    <row r="5" ht="24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30" customHeight="1">
      <c r="A6" s="6" t="str">
        <v>木工所の販売例</v>
      </c>
      <c r="B6" s="6" t="str">
        <v>品名</v>
      </c>
      <c r="C6" s="6" t="str">
        <v>仕様</v>
      </c>
      <c r="D6" s="6" t="str">
        <v>数量</v>
      </c>
      <c r="E6" s="6" t="str">
        <v>単位</v>
      </c>
      <c r="F6" s="6" t="str">
        <v>税抜単価</v>
      </c>
      <c r="G6" s="6" t="str">
        <v>税率</v>
      </c>
      <c r="H6" s="2"/>
      <c r="I6" s="2"/>
      <c r="J6" s="2"/>
      <c r="K6" s="2"/>
    </row>
    <row r="7" ht="24" customHeight="1">
      <c r="A7" s="2" t="str">
        <v>M001</v>
      </c>
      <c r="B7" s="2" t="str">
        <v>テーブル</v>
      </c>
      <c r="C7" s="2" t="str">
        <v>標準仕様</v>
      </c>
      <c r="D7" s="2" t="n">
        <v>2</v>
      </c>
      <c r="E7" s="2" t="str">
        <v>台</v>
      </c>
      <c r="F7" s="14" t="n">
        <v>50000</v>
      </c>
      <c r="G7" s="33" t="n">
        <v>0.1</v>
      </c>
      <c r="H7" s="2"/>
      <c r="I7" s="2"/>
      <c r="J7" s="2"/>
      <c r="K7" s="2"/>
    </row>
    <row r="8" ht="24" customHeight="1">
      <c r="A8" s="2" t="str">
        <v>M002</v>
      </c>
      <c r="B8" s="2" t="str">
        <v>椅子</v>
      </c>
      <c r="C8" s="2" t="str">
        <v>標準仕様</v>
      </c>
      <c r="D8" s="2" t="n">
        <v>4</v>
      </c>
      <c r="E8" s="2" t="str">
        <v>脚</v>
      </c>
      <c r="F8" s="14" t="n">
        <v>15000</v>
      </c>
      <c r="G8" s="33" t="n">
        <v>0.1</v>
      </c>
      <c r="H8" s="2"/>
      <c r="I8" s="2"/>
      <c r="J8" s="2"/>
      <c r="K8" s="2"/>
    </row>
    <row r="9" ht="24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30" customHeight="1">
      <c r="A11" s="6" t="str">
        <v>対象ID</v>
      </c>
      <c r="B11" s="6" t="str">
        <v>区分</v>
      </c>
      <c r="C11" s="6" t="str">
        <v>内容</v>
      </c>
      <c r="D11" s="6" t="str">
        <v>使用量</v>
      </c>
      <c r="E11" s="6" t="str">
        <v>原価単価</v>
      </c>
      <c r="F11" s="6" t="str">
        <v>根拠</v>
      </c>
      <c r="G11" s="6" t="str">
        <v>数量の扱い</v>
      </c>
      <c r="H11" s="2"/>
      <c r="I11" s="2"/>
      <c r="J11" s="2"/>
      <c r="K11" s="2"/>
    </row>
    <row r="12" ht="24" customHeight="1">
      <c r="A12" s="2" t="str">
        <v>M001</v>
      </c>
      <c r="B12" s="2" t="str">
        <v>材料</v>
      </c>
      <c r="C12" s="2" t="str">
        <v>テーブル材料</v>
      </c>
      <c r="D12" s="2" t="n">
        <v>1</v>
      </c>
      <c r="E12" s="2" t="n">
        <v>15000</v>
      </c>
      <c r="F12" s="2" t="str">
        <v>台当たり</v>
      </c>
      <c r="G12" s="2" t="str">
        <v>数量連動</v>
      </c>
      <c r="H12" s="2"/>
      <c r="I12" s="2"/>
      <c r="J12" s="2"/>
      <c r="K12" s="2"/>
    </row>
    <row r="13" ht="24" customHeight="1">
      <c r="A13" s="2" t="str">
        <v>M001</v>
      </c>
      <c r="B13" s="2" t="str">
        <v>作業</v>
      </c>
      <c r="C13" s="2" t="str">
        <v>テーブル作業</v>
      </c>
      <c r="D13" s="2" t="n">
        <v>10</v>
      </c>
      <c r="E13" s="2" t="n">
        <v>1000</v>
      </c>
      <c r="F13" s="2" t="str">
        <v>時間/台</v>
      </c>
      <c r="G13" s="2" t="str">
        <v>数量連動</v>
      </c>
      <c r="H13" s="2"/>
      <c r="I13" s="2"/>
      <c r="J13" s="2"/>
      <c r="K13" s="2"/>
    </row>
    <row r="14" ht="24" customHeight="1">
      <c r="A14" s="2" t="str">
        <v>M002</v>
      </c>
      <c r="B14" s="2" t="str">
        <v>材料</v>
      </c>
      <c r="C14" s="2" t="str">
        <v>椅子材料</v>
      </c>
      <c r="D14" s="2" t="n">
        <v>1</v>
      </c>
      <c r="E14" s="2" t="n">
        <v>5000</v>
      </c>
      <c r="F14" s="2" t="str">
        <v>脚当たり</v>
      </c>
      <c r="G14" s="2" t="str">
        <v>数量連動</v>
      </c>
      <c r="H14" s="2"/>
      <c r="I14" s="2"/>
      <c r="J14" s="2"/>
      <c r="K14" s="2"/>
    </row>
    <row r="15" ht="24" customHeight="1">
      <c r="A15" s="2" t="str">
        <v>M002</v>
      </c>
      <c r="B15" s="2" t="str">
        <v>作業</v>
      </c>
      <c r="C15" s="2" t="str">
        <v>椅子作業</v>
      </c>
      <c r="D15" s="2" t="n">
        <v>2.5</v>
      </c>
      <c r="E15" s="2" t="n">
        <v>1000</v>
      </c>
      <c r="F15" s="2" t="str">
        <v>時間/脚</v>
      </c>
      <c r="G15" s="2" t="str">
        <v>数量連動</v>
      </c>
      <c r="H15" s="2"/>
      <c r="I15" s="2"/>
      <c r="J15" s="2"/>
      <c r="K15" s="2"/>
    </row>
    <row r="16" ht="24" customHeight="1">
      <c r="A16" s="2" t="str">
        <v>案件共通</v>
      </c>
      <c r="B16" s="2" t="str">
        <v>配送</v>
      </c>
      <c r="C16" s="2" t="str">
        <v>一括配送</v>
      </c>
      <c r="D16" s="2" t="n">
        <v>1</v>
      </c>
      <c r="E16" s="2" t="n">
        <v>8000</v>
      </c>
      <c r="F16" s="2" t="str">
        <v>納品1回</v>
      </c>
      <c r="G16" s="2" t="str">
        <v>一式</v>
      </c>
      <c r="H16" s="2"/>
      <c r="I16" s="2"/>
      <c r="J16" s="2"/>
      <c r="K16" s="2"/>
    </row>
    <row r="17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32" customHeight="1">
      <c r="A18" s="10" t="str">
        <v>木工所：売上160,000円、原価88,000円、利益72,000円、利益率45.0%。</v>
      </c>
      <c r="B18" s="10"/>
      <c r="C18" s="10"/>
      <c r="D18" s="10"/>
      <c r="E18" s="10"/>
      <c r="F18" s="10"/>
      <c r="G18" s="10"/>
      <c r="H18" s="10"/>
      <c r="I18" s="10"/>
      <c r="J18" s="10"/>
      <c r="K18" s="2"/>
    </row>
    <row r="19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30" customHeight="1">
      <c r="A21" s="6" t="str">
        <v>農家の販売例</v>
      </c>
      <c r="B21" s="6" t="str">
        <v>品名</v>
      </c>
      <c r="C21" s="6" t="str">
        <v>仕様</v>
      </c>
      <c r="D21" s="6" t="str">
        <v>数量</v>
      </c>
      <c r="E21" s="6" t="str">
        <v>単位</v>
      </c>
      <c r="F21" s="6" t="str">
        <v>税抜単価</v>
      </c>
      <c r="G21" s="6" t="str">
        <v>税率</v>
      </c>
      <c r="H21" s="2"/>
      <c r="I21" s="2"/>
      <c r="J21" s="2"/>
      <c r="K21" s="2"/>
    </row>
    <row r="22" ht="24" customHeight="1">
      <c r="A22" s="2" t="str">
        <v>M001</v>
      </c>
      <c r="B22" s="2" t="str">
        <v>野菜5kg箱</v>
      </c>
      <c r="C22" s="2" t="str">
        <v>同一作物・同一品質</v>
      </c>
      <c r="D22" s="2" t="n">
        <v>100</v>
      </c>
      <c r="E22" s="2" t="str">
        <v>箱</v>
      </c>
      <c r="F22" s="14" t="n">
        <v>2000</v>
      </c>
      <c r="G22" s="33" t="n">
        <v>0.08</v>
      </c>
      <c r="H22" s="2"/>
      <c r="I22" s="2"/>
      <c r="J22" s="2"/>
      <c r="K22" s="2"/>
    </row>
    <row r="23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30" customHeight="1">
      <c r="A25" s="6" t="str">
        <v>対象ID</v>
      </c>
      <c r="B25" s="6" t="str">
        <v>区分</v>
      </c>
      <c r="C25" s="6" t="str">
        <v>内容</v>
      </c>
      <c r="D25" s="6" t="str">
        <v>使用量</v>
      </c>
      <c r="E25" s="6" t="str">
        <v>原価単価</v>
      </c>
      <c r="F25" s="6" t="str">
        <v>根拠</v>
      </c>
      <c r="G25" s="6" t="str">
        <v>数量の扱い</v>
      </c>
      <c r="H25" s="2"/>
      <c r="I25" s="2"/>
      <c r="J25" s="2"/>
      <c r="K25" s="2"/>
    </row>
    <row r="26" ht="24" customHeight="1">
      <c r="A26" s="2" t="str">
        <v>M001</v>
      </c>
      <c r="B26" s="2" t="str">
        <v>生産原価</v>
      </c>
      <c r="C26" s="2" t="str">
        <v>対象出荷分の生産原価</v>
      </c>
      <c r="D26" s="2" t="n">
        <v>5</v>
      </c>
      <c r="E26" s="2" t="n">
        <v>200</v>
      </c>
      <c r="F26" s="2" t="str">
        <v>kg/箱・単価自動</v>
      </c>
      <c r="G26" s="2" t="str">
        <v>数量連動</v>
      </c>
      <c r="H26" s="2"/>
      <c r="I26" s="2"/>
      <c r="J26" s="2"/>
      <c r="K26" s="2"/>
    </row>
    <row r="27" ht="24" customHeight="1">
      <c r="A27" s="2" t="str">
        <v>M001</v>
      </c>
      <c r="B27" s="2" t="str">
        <v>材料</v>
      </c>
      <c r="C27" s="2" t="str">
        <v>箱・包装材</v>
      </c>
      <c r="D27" s="2" t="n">
        <v>1</v>
      </c>
      <c r="E27" s="2" t="n">
        <v>150</v>
      </c>
      <c r="F27" s="2" t="str">
        <v>箱当たり</v>
      </c>
      <c r="G27" s="2" t="str">
        <v>数量連動</v>
      </c>
      <c r="H27" s="2"/>
      <c r="I27" s="2"/>
      <c r="J27" s="2"/>
      <c r="K27" s="2"/>
    </row>
    <row r="28" ht="24" customHeight="1">
      <c r="A28" s="2" t="str">
        <v>M001</v>
      </c>
      <c r="B28" s="2" t="str">
        <v>作業</v>
      </c>
      <c r="C28" s="2" t="str">
        <v>選別・梱包</v>
      </c>
      <c r="D28" s="2" t="n">
        <v>0.1</v>
      </c>
      <c r="E28" s="2" t="n">
        <v>1500</v>
      </c>
      <c r="F28" s="2" t="str">
        <v>時間/箱</v>
      </c>
      <c r="G28" s="2" t="str">
        <v>数量連動</v>
      </c>
      <c r="H28" s="2"/>
      <c r="I28" s="2"/>
      <c r="J28" s="2"/>
      <c r="K28" s="2"/>
    </row>
    <row r="29" ht="24" customHeight="1">
      <c r="A29" s="2" t="str">
        <v>案件共通</v>
      </c>
      <c r="B29" s="2" t="str">
        <v>配送</v>
      </c>
      <c r="C29" s="2" t="str">
        <v>今回の配送</v>
      </c>
      <c r="D29" s="2" t="n">
        <v>1</v>
      </c>
      <c r="E29" s="2" t="n">
        <v>10000</v>
      </c>
      <c r="F29" s="2" t="str">
        <v>出荷1回</v>
      </c>
      <c r="G29" s="2" t="str">
        <v>一式</v>
      </c>
      <c r="H29" s="2"/>
      <c r="I29" s="2"/>
      <c r="J29" s="2"/>
      <c r="K29" s="2"/>
    </row>
    <row r="30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32" customHeight="1">
      <c r="A31" s="10" t="str">
        <v>農家：生産費用1,000,000円 ÷ 販売可能収穫量5,000kg ＝ 200円/kg。</v>
      </c>
      <c r="B31" s="10"/>
      <c r="C31" s="10"/>
      <c r="D31" s="10"/>
      <c r="E31" s="10"/>
      <c r="F31" s="10"/>
      <c r="G31" s="10"/>
      <c r="H31" s="10"/>
      <c r="I31" s="10"/>
      <c r="J31" s="10"/>
      <c r="K31" s="2"/>
    </row>
    <row r="32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32" customHeight="1">
      <c r="A33" s="10" t="str">
        <v>100箱×5kg。売上200,000円、原価140,000円、利益60,000円、利益率30.0%。</v>
      </c>
      <c r="B33" s="10"/>
      <c r="C33" s="10"/>
      <c r="D33" s="10"/>
      <c r="E33" s="10"/>
      <c r="F33" s="10"/>
      <c r="G33" s="10"/>
      <c r="H33" s="10"/>
      <c r="I33" s="10"/>
      <c r="J33" s="10"/>
      <c r="K33" s="2"/>
    </row>
    <row r="34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32" customHeight="1">
      <c r="A35" s="10" t="str">
        <v>農家を試す：業種を農家に変更し、見積入力A16:G25を消去してA22:G22の値をA16:G16に貼り付け。</v>
      </c>
      <c r="B35" s="10"/>
      <c r="C35" s="10"/>
      <c r="D35" s="10"/>
      <c r="E35" s="10"/>
      <c r="F35" s="10"/>
      <c r="G35" s="10"/>
      <c r="H35" s="10"/>
      <c r="I35" s="10"/>
      <c r="J35" s="10"/>
      <c r="K35" s="2"/>
    </row>
    <row r="3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32" customHeight="1">
      <c r="A37" s="10" t="str">
        <v>原価側は両業種とも記入例を入力済み。実案件では入力欄を置き換え、不要行は入力セルだけ消去してください。</v>
      </c>
      <c r="B37" s="10"/>
      <c r="C37" s="10"/>
      <c r="D37" s="10"/>
      <c r="E37" s="10"/>
      <c r="F37" s="10"/>
      <c r="G37" s="10"/>
      <c r="H37" s="10"/>
      <c r="I37" s="10"/>
      <c r="J37" s="10"/>
      <c r="K37" s="2"/>
    </row>
    <row r="38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</sheetData>
  <mergeCells>
    <mergeCell ref="A2:J2"/>
    <mergeCell ref="A4:J4"/>
    <mergeCell ref="A18:J18"/>
    <mergeCell ref="A31:J31"/>
    <mergeCell ref="A33:J33"/>
    <mergeCell ref="A35:J35"/>
    <mergeCell ref="A37:J37"/>
  </mergeCells>
  <pageMargins left="0.7" right="0.7" top="0.75" bottom="0.75" header="0.3" footer="0.3"/>
  <legacyDrawing r:id="R82e0c9b0626d4b9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7988A"/>
  </sheetPr>
  <sheetViews>
    <sheetView showGridLines="0" workbookViewId="0" zoomScale="80" zoomScaleNormal="100"/>
  </sheetViews>
  <sheetFormatPr defaultRowHeight="15"/>
  <cols>
    <col min="1" max="1" width="22" hidden="0" customWidth="1"/>
    <col min="2" max="2" width="21" hidden="0" customWidth="1"/>
    <col min="3" max="3" width="24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5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7" t="str">
        <v>計算</v>
      </c>
      <c r="B2" s="37"/>
      <c r="C2" s="37"/>
      <c r="D2" s="37"/>
      <c r="E2" s="37"/>
      <c r="F2" s="37"/>
      <c r="G2" s="37"/>
      <c r="H2" s="37"/>
      <c r="I2" s="37"/>
      <c r="J2" s="37"/>
      <c r="K2" s="2"/>
    </row>
    <row r="3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4" customHeight="1">
      <c r="A4" s="2" t="str">
        <v>参照シート名</v>
      </c>
      <c r="B4" s="2" t="str">
        <f>IFERROR(INDEX('設定'!$B$6:$B$7,MATCH('採算シミュレーション'!B5,'設定'!$A$6:$A$7,0)),"業種未登録")</f>
        <v>原価(木工所)</v>
      </c>
      <c r="C4" s="2"/>
      <c r="D4" s="2"/>
      <c r="E4" s="2"/>
      <c r="F4" s="2"/>
      <c r="G4" s="2"/>
      <c r="H4" s="2"/>
      <c r="I4" s="2"/>
      <c r="J4" s="2"/>
      <c r="K4" s="2"/>
    </row>
    <row r="5" ht="24" customHeight="1">
      <c r="A5" s="2" t="str">
        <v>出力形式</v>
      </c>
      <c r="B5" s="2" t="str">
        <f>IFERROR(INDIRECT("'"&amp;$B$4&amp;"'!L4"),"原価シートなし")</f>
        <v>COST-V1</v>
      </c>
      <c r="C5" s="2"/>
      <c r="D5" s="2"/>
      <c r="E5" s="2"/>
      <c r="F5" s="2"/>
      <c r="G5" s="2"/>
      <c r="H5" s="2"/>
      <c r="I5" s="2"/>
      <c r="J5" s="2"/>
      <c r="K5" s="2"/>
    </row>
    <row r="6" ht="24" customHeight="1">
      <c r="A6" s="2" t="str">
        <v>原価入力状態</v>
      </c>
      <c r="B6" s="2" t="str">
        <f>IFERROR(INDIRECT("'"&amp;$B$4&amp;"'!M5"),"原価シートなし")</f>
        <v>OK</v>
      </c>
      <c r="C6" s="2"/>
      <c r="D6" s="2"/>
      <c r="E6" s="2"/>
      <c r="F6" s="2"/>
      <c r="G6" s="2"/>
      <c r="H6" s="2"/>
      <c r="I6" s="2"/>
      <c r="J6" s="2"/>
      <c r="K6" s="2"/>
    </row>
    <row r="7" ht="24" customHeight="1">
      <c r="A7" s="2" t="str">
        <v>見積入力状態</v>
      </c>
      <c r="B7" s="2" t="str">
        <f>'見積入力'!I28</f>
        <v>OK</v>
      </c>
      <c r="C7" s="2"/>
      <c r="D7" s="2"/>
      <c r="E7" s="2"/>
      <c r="F7" s="2"/>
      <c r="G7" s="2"/>
      <c r="H7" s="2"/>
      <c r="I7" s="2"/>
      <c r="J7" s="2"/>
      <c r="K7" s="2"/>
    </row>
    <row r="8" ht="24" customHeight="1">
      <c r="A8" s="2" t="str">
        <v>試算条件</v>
      </c>
      <c r="B8" s="2" t="str">
        <f>IF(OR(NOT(ISNUMBER('採算シミュレーション'!B7)),NOT(ISNUMBER('採算シミュレーション'!B9)),NOT(ISNUMBER('採算シミュレーション'!B11))),"試算条件は数値",IF(OR('採算シミュレーション'!B7&lt;0,'採算シミュレーション'!B7&gt;=1,'採算シミュレーション'!B9&lt;0,'採算シミュレーション'!B9&gt;100,MOD('採算シミュレーション'!B9,1)&lt;&gt;0,'採算シミュレーション'!B11&lt; -1,'採算シミュレーション'!B11&gt;10),"試算条件の範囲確認","OK"))</f>
        <v>OK</v>
      </c>
      <c r="C8" s="2"/>
      <c r="D8" s="2"/>
      <c r="E8" s="2"/>
      <c r="F8" s="2"/>
      <c r="G8" s="2"/>
      <c r="H8" s="2"/>
      <c r="I8" s="2"/>
      <c r="J8" s="2"/>
      <c r="K8" s="2"/>
    </row>
    <row r="9" ht="24" customHeight="1">
      <c r="A9" s="2" t="str">
        <v>案件共通費</v>
      </c>
      <c r="B9" s="2" t="n">
        <f>IFERROR(INDIRECT("'"&amp;$B$4&amp;"'!M6"),"取得不可")</f>
        <v>8000</v>
      </c>
      <c r="C9" s="2"/>
      <c r="D9" s="2"/>
      <c r="E9" s="2"/>
      <c r="F9" s="2"/>
      <c r="G9" s="2"/>
      <c r="H9" s="2"/>
      <c r="I9" s="2"/>
      <c r="J9" s="2"/>
      <c r="K9" s="2"/>
    </row>
    <row r="10" ht="24" customHeight="1">
      <c r="A10" s="2" t="str">
        <v>総合状態</v>
      </c>
      <c r="B10" s="2" t="str">
        <f>IF(B5&lt;&gt;"COST-V1",B5,IF(B6&lt;&gt;"OK",B6,IF(B7&lt;&gt;"OK",B7,IF(B8&lt;&gt;"OK",B8,IF(COUNTIFS(J16:J25,"原価の紐付け不足")&gt;0,"商品に原価未登録","OK")))))</f>
        <v>OK</v>
      </c>
      <c r="C10" s="2"/>
      <c r="D10" s="2"/>
      <c r="E10" s="2"/>
      <c r="F10" s="2"/>
      <c r="G10" s="2"/>
      <c r="H10" s="2"/>
      <c r="I10" s="2"/>
      <c r="J10" s="2"/>
      <c r="K10" s="2"/>
    </row>
    <row r="11" ht="24" customHeight="1">
      <c r="A11" s="2" t="str">
        <v>共通経費</v>
      </c>
      <c r="B11" s="2" t="str">
        <f>IFERROR(INDIRECT("'"&amp;$B$4&amp;"'!M7"),"取得不可")</f>
        <v>今回は未算入</v>
      </c>
      <c r="C11" s="2"/>
      <c r="D11" s="2"/>
      <c r="E11" s="2"/>
      <c r="F11" s="2"/>
      <c r="G11" s="2"/>
      <c r="H11" s="2"/>
      <c r="I11" s="2"/>
      <c r="J11" s="2"/>
      <c r="K11" s="2"/>
    </row>
    <row r="12" ht="24" customHeight="1">
      <c r="A12" s="2" t="str">
        <v>税抜小計</v>
      </c>
      <c r="B12" s="2" t="n">
        <f>IF(B7="OK",'見積入力'!H29,"")</f>
        <v>160000</v>
      </c>
      <c r="C12" s="2"/>
      <c r="D12" s="2"/>
      <c r="E12" s="2"/>
      <c r="F12" s="2"/>
      <c r="G12" s="2"/>
      <c r="H12" s="2"/>
      <c r="I12" s="2"/>
      <c r="J12" s="2"/>
      <c r="K12" s="2"/>
    </row>
    <row r="13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30" customHeight="1">
      <c r="A15" s="6" t="str">
        <v>明細ID</v>
      </c>
      <c r="B15" s="6" t="str">
        <v>品名</v>
      </c>
      <c r="C15" s="6" t="str">
        <v>基準売上</v>
      </c>
      <c r="D15" s="6" t="str">
        <v>原価</v>
      </c>
      <c r="E15" s="6" t="str">
        <v>原価件数</v>
      </c>
      <c r="F15" s="6" t="str">
        <v>試算売上</v>
      </c>
      <c r="G15" s="6" t="str">
        <v>試算原価</v>
      </c>
      <c r="H15" s="6" t="str">
        <v>確定売上</v>
      </c>
      <c r="I15" s="6" t="str">
        <v>税率</v>
      </c>
      <c r="J15" s="6" t="str">
        <v>紐付け</v>
      </c>
      <c r="K15" s="2"/>
    </row>
    <row r="16" ht="24" customHeight="1">
      <c r="A16" s="2" t="str">
        <f>IF('見積入力'!A16="","",'見積入力'!A16)</f>
        <v>M001</v>
      </c>
      <c r="B16" s="2" t="str">
        <f>IF(A16="","",'見積入力'!B16)</f>
        <v>テーブル</v>
      </c>
      <c r="C16" s="2" t="n">
        <f>IF(A16="","",'見積入力'!H16)</f>
        <v>100000</v>
      </c>
      <c r="D16" s="2" t="n">
        <f>IF(A16="","",IFERROR(INDIRECT("'"&amp;$B$4&amp;"'!M16"),"取得不可"))</f>
        <v>50000</v>
      </c>
      <c r="E16" s="2" t="n">
        <f>IF(A16="","",IFERROR(INDIRECT("'"&amp;$B$4&amp;"'!N16"),"取得不可"))</f>
        <v>2</v>
      </c>
      <c r="F16" s="2" t="n">
        <f>IF(OR(A16="",$B$10&lt;&gt;"OK"),"",ROUND(C16*(1-'採算シミュレーション'!$B$9/100),0))</f>
        <v>100000</v>
      </c>
      <c r="G16" s="2" t="n">
        <f>IF(OR(A16="",$B$10&lt;&gt;"OK"),"",ROUND(D16*(1+'採算シミュレーション'!$B$11),0))</f>
        <v>50000</v>
      </c>
      <c r="H16" s="2" t="n">
        <f>IF(OR(A16="",$B$10&lt;&gt;"OK"),"",ROUND(C16*(1-'見積入力'!$B$8),0))</f>
        <v>100000</v>
      </c>
      <c r="I16" s="2" t="n">
        <f>IF(A16="","",'見積入力'!G16)</f>
        <v>0.1</v>
      </c>
      <c r="J16" s="2" t="str">
        <f>IF(A16="","",IF(AND(ISNUMBER(D16),ISNUMBER(E16),E16&gt;0),"OK","原価の紐付け不足"))</f>
        <v>OK</v>
      </c>
      <c r="K16" s="2"/>
    </row>
    <row r="17" ht="24" customHeight="1">
      <c r="A17" s="2" t="str">
        <f>IF('見積入力'!A17="","",'見積入力'!A17)</f>
        <v>M002</v>
      </c>
      <c r="B17" s="2" t="str">
        <f>IF(A17="","",'見積入力'!B17)</f>
        <v>椅子</v>
      </c>
      <c r="C17" s="2" t="n">
        <f>IF(A17="","",'見積入力'!H17)</f>
        <v>60000</v>
      </c>
      <c r="D17" s="2" t="n">
        <f>IF(A17="","",IFERROR(INDIRECT("'"&amp;$B$4&amp;"'!M17"),"取得不可"))</f>
        <v>30000</v>
      </c>
      <c r="E17" s="2" t="n">
        <f>IF(A17="","",IFERROR(INDIRECT("'"&amp;$B$4&amp;"'!N17"),"取得不可"))</f>
        <v>2</v>
      </c>
      <c r="F17" s="2" t="n">
        <f>IF(OR(A17="",$B$10&lt;&gt;"OK"),"",ROUND(C17*(1-'採算シミュレーション'!$B$9/100),0))</f>
        <v>60000</v>
      </c>
      <c r="G17" s="2" t="n">
        <f>IF(OR(A17="",$B$10&lt;&gt;"OK"),"",ROUND(D17*(1+'採算シミュレーション'!$B$11),0))</f>
        <v>30000</v>
      </c>
      <c r="H17" s="2" t="n">
        <f>IF(OR(A17="",$B$10&lt;&gt;"OK"),"",ROUND(C17*(1-'見積入力'!$B$8),0))</f>
        <v>60000</v>
      </c>
      <c r="I17" s="2" t="n">
        <f>IF(A17="","",'見積入力'!G17)</f>
        <v>0.1</v>
      </c>
      <c r="J17" s="2" t="str">
        <f>IF(A17="","",IF(AND(ISNUMBER(D17),ISNUMBER(E17),E17&gt;0),"OK","原価の紐付け不足"))</f>
        <v>OK</v>
      </c>
      <c r="K17" s="2"/>
    </row>
    <row r="18" ht="24" customHeight="1">
      <c r="A18" s="2" t="str">
        <f>IF('見積入力'!A18="","",'見積入力'!A18)</f>
      </c>
      <c r="B18" s="2" t="str">
        <f>IF(A18="","",'見積入力'!B18)</f>
      </c>
      <c r="C18" s="2" t="str">
        <f>IF(A18="","",'見積入力'!H18)</f>
      </c>
      <c r="D18" s="2" t="str">
        <f>IF(A18="","",IFERROR(INDIRECT("'"&amp;$B$4&amp;"'!M18"),"取得不可"))</f>
      </c>
      <c r="E18" s="2" t="str">
        <f>IF(A18="","",IFERROR(INDIRECT("'"&amp;$B$4&amp;"'!N18"),"取得不可"))</f>
      </c>
      <c r="F18" s="2" t="str">
        <f>IF(OR(A18="",$B$10&lt;&gt;"OK"),"",ROUND(C18*(1-'採算シミュレーション'!$B$9/100),0))</f>
      </c>
      <c r="G18" s="2" t="str">
        <f>IF(OR(A18="",$B$10&lt;&gt;"OK"),"",ROUND(D18*(1+'採算シミュレーション'!$B$11),0))</f>
      </c>
      <c r="H18" s="2" t="str">
        <f>IF(OR(A18="",$B$10&lt;&gt;"OK"),"",ROUND(C18*(1-'見積入力'!$B$8),0))</f>
      </c>
      <c r="I18" s="2" t="str">
        <f>IF(A18="","",'見積入力'!G18)</f>
      </c>
      <c r="J18" s="2" t="str">
        <f>IF(A18="","",IF(AND(ISNUMBER(D18),ISNUMBER(E18),E18&gt;0),"OK","原価の紐付け不足"))</f>
      </c>
      <c r="K18" s="2"/>
    </row>
    <row r="19" ht="24" customHeight="1">
      <c r="A19" s="2" t="str">
        <f>IF('見積入力'!A19="","",'見積入力'!A19)</f>
      </c>
      <c r="B19" s="2" t="str">
        <f>IF(A19="","",'見積入力'!B19)</f>
      </c>
      <c r="C19" s="2" t="str">
        <f>IF(A19="","",'見積入力'!H19)</f>
      </c>
      <c r="D19" s="2" t="str">
        <f>IF(A19="","",IFERROR(INDIRECT("'"&amp;$B$4&amp;"'!M19"),"取得不可"))</f>
      </c>
      <c r="E19" s="2" t="str">
        <f>IF(A19="","",IFERROR(INDIRECT("'"&amp;$B$4&amp;"'!N19"),"取得不可"))</f>
      </c>
      <c r="F19" s="2" t="str">
        <f>IF(OR(A19="",$B$10&lt;&gt;"OK"),"",ROUND(C19*(1-'採算シミュレーション'!$B$9/100),0))</f>
      </c>
      <c r="G19" s="2" t="str">
        <f>IF(OR(A19="",$B$10&lt;&gt;"OK"),"",ROUND(D19*(1+'採算シミュレーション'!$B$11),0))</f>
      </c>
      <c r="H19" s="2" t="str">
        <f>IF(OR(A19="",$B$10&lt;&gt;"OK"),"",ROUND(C19*(1-'見積入力'!$B$8),0))</f>
      </c>
      <c r="I19" s="2" t="str">
        <f>IF(A19="","",'見積入力'!G19)</f>
      </c>
      <c r="J19" s="2" t="str">
        <f>IF(A19="","",IF(AND(ISNUMBER(D19),ISNUMBER(E19),E19&gt;0),"OK","原価の紐付け不足"))</f>
      </c>
      <c r="K19" s="2"/>
    </row>
    <row r="20" ht="24" customHeight="1">
      <c r="A20" s="2" t="str">
        <f>IF('見積入力'!A20="","",'見積入力'!A20)</f>
      </c>
      <c r="B20" s="2" t="str">
        <f>IF(A20="","",'見積入力'!B20)</f>
      </c>
      <c r="C20" s="2" t="str">
        <f>IF(A20="","",'見積入力'!H20)</f>
      </c>
      <c r="D20" s="2" t="str">
        <f>IF(A20="","",IFERROR(INDIRECT("'"&amp;$B$4&amp;"'!M20"),"取得不可"))</f>
      </c>
      <c r="E20" s="2" t="str">
        <f>IF(A20="","",IFERROR(INDIRECT("'"&amp;$B$4&amp;"'!N20"),"取得不可"))</f>
      </c>
      <c r="F20" s="2" t="str">
        <f>IF(OR(A20="",$B$10&lt;&gt;"OK"),"",ROUND(C20*(1-'採算シミュレーション'!$B$9/100),0))</f>
      </c>
      <c r="G20" s="2" t="str">
        <f>IF(OR(A20="",$B$10&lt;&gt;"OK"),"",ROUND(D20*(1+'採算シミュレーション'!$B$11),0))</f>
      </c>
      <c r="H20" s="2" t="str">
        <f>IF(OR(A20="",$B$10&lt;&gt;"OK"),"",ROUND(C20*(1-'見積入力'!$B$8),0))</f>
      </c>
      <c r="I20" s="2" t="str">
        <f>IF(A20="","",'見積入力'!G20)</f>
      </c>
      <c r="J20" s="2" t="str">
        <f>IF(A20="","",IF(AND(ISNUMBER(D20),ISNUMBER(E20),E20&gt;0),"OK","原価の紐付け不足"))</f>
      </c>
      <c r="K20" s="2"/>
    </row>
    <row r="21" ht="24" customHeight="1">
      <c r="A21" s="2" t="str">
        <f>IF('見積入力'!A21="","",'見積入力'!A21)</f>
      </c>
      <c r="B21" s="2" t="str">
        <f>IF(A21="","",'見積入力'!B21)</f>
      </c>
      <c r="C21" s="2" t="str">
        <f>IF(A21="","",'見積入力'!H21)</f>
      </c>
      <c r="D21" s="2" t="str">
        <f>IF(A21="","",IFERROR(INDIRECT("'"&amp;$B$4&amp;"'!M21"),"取得不可"))</f>
      </c>
      <c r="E21" s="2" t="str">
        <f>IF(A21="","",IFERROR(INDIRECT("'"&amp;$B$4&amp;"'!N21"),"取得不可"))</f>
      </c>
      <c r="F21" s="2" t="str">
        <f>IF(OR(A21="",$B$10&lt;&gt;"OK"),"",ROUND(C21*(1-'採算シミュレーション'!$B$9/100),0))</f>
      </c>
      <c r="G21" s="2" t="str">
        <f>IF(OR(A21="",$B$10&lt;&gt;"OK"),"",ROUND(D21*(1+'採算シミュレーション'!$B$11),0))</f>
      </c>
      <c r="H21" s="2" t="str">
        <f>IF(OR(A21="",$B$10&lt;&gt;"OK"),"",ROUND(C21*(1-'見積入力'!$B$8),0))</f>
      </c>
      <c r="I21" s="2" t="str">
        <f>IF(A21="","",'見積入力'!G21)</f>
      </c>
      <c r="J21" s="2" t="str">
        <f>IF(A21="","",IF(AND(ISNUMBER(D21),ISNUMBER(E21),E21&gt;0),"OK","原価の紐付け不足"))</f>
      </c>
      <c r="K21" s="2"/>
    </row>
    <row r="22" ht="24" customHeight="1">
      <c r="A22" s="2" t="str">
        <f>IF('見積入力'!A22="","",'見積入力'!A22)</f>
      </c>
      <c r="B22" s="2" t="str">
        <f>IF(A22="","",'見積入力'!B22)</f>
      </c>
      <c r="C22" s="2" t="str">
        <f>IF(A22="","",'見積入力'!H22)</f>
      </c>
      <c r="D22" s="2" t="str">
        <f>IF(A22="","",IFERROR(INDIRECT("'"&amp;$B$4&amp;"'!M22"),"取得不可"))</f>
      </c>
      <c r="E22" s="2" t="str">
        <f>IF(A22="","",IFERROR(INDIRECT("'"&amp;$B$4&amp;"'!N22"),"取得不可"))</f>
      </c>
      <c r="F22" s="2" t="str">
        <f>IF(OR(A22="",$B$10&lt;&gt;"OK"),"",ROUND(C22*(1-'採算シミュレーション'!$B$9/100),0))</f>
      </c>
      <c r="G22" s="2" t="str">
        <f>IF(OR(A22="",$B$10&lt;&gt;"OK"),"",ROUND(D22*(1+'採算シミュレーション'!$B$11),0))</f>
      </c>
      <c r="H22" s="2" t="str">
        <f>IF(OR(A22="",$B$10&lt;&gt;"OK"),"",ROUND(C22*(1-'見積入力'!$B$8),0))</f>
      </c>
      <c r="I22" s="2" t="str">
        <f>IF(A22="","",'見積入力'!G22)</f>
      </c>
      <c r="J22" s="2" t="str">
        <f>IF(A22="","",IF(AND(ISNUMBER(D22),ISNUMBER(E22),E22&gt;0),"OK","原価の紐付け不足"))</f>
      </c>
      <c r="K22" s="2"/>
    </row>
    <row r="23" ht="24" customHeight="1">
      <c r="A23" s="2" t="str">
        <f>IF('見積入力'!A23="","",'見積入力'!A23)</f>
      </c>
      <c r="B23" s="2" t="str">
        <f>IF(A23="","",'見積入力'!B23)</f>
      </c>
      <c r="C23" s="2" t="str">
        <f>IF(A23="","",'見積入力'!H23)</f>
      </c>
      <c r="D23" s="2" t="str">
        <f>IF(A23="","",IFERROR(INDIRECT("'"&amp;$B$4&amp;"'!M23"),"取得不可"))</f>
      </c>
      <c r="E23" s="2" t="str">
        <f>IF(A23="","",IFERROR(INDIRECT("'"&amp;$B$4&amp;"'!N23"),"取得不可"))</f>
      </c>
      <c r="F23" s="2" t="str">
        <f>IF(OR(A23="",$B$10&lt;&gt;"OK"),"",ROUND(C23*(1-'採算シミュレーション'!$B$9/100),0))</f>
      </c>
      <c r="G23" s="2" t="str">
        <f>IF(OR(A23="",$B$10&lt;&gt;"OK"),"",ROUND(D23*(1+'採算シミュレーション'!$B$11),0))</f>
      </c>
      <c r="H23" s="2" t="str">
        <f>IF(OR(A23="",$B$10&lt;&gt;"OK"),"",ROUND(C23*(1-'見積入力'!$B$8),0))</f>
      </c>
      <c r="I23" s="2" t="str">
        <f>IF(A23="","",'見積入力'!G23)</f>
      </c>
      <c r="J23" s="2" t="str">
        <f>IF(A23="","",IF(AND(ISNUMBER(D23),ISNUMBER(E23),E23&gt;0),"OK","原価の紐付け不足"))</f>
      </c>
      <c r="K23" s="2"/>
    </row>
    <row r="24" ht="24" customHeight="1">
      <c r="A24" s="2" t="str">
        <f>IF('見積入力'!A24="","",'見積入力'!A24)</f>
      </c>
      <c r="B24" s="2" t="str">
        <f>IF(A24="","",'見積入力'!B24)</f>
      </c>
      <c r="C24" s="2" t="str">
        <f>IF(A24="","",'見積入力'!H24)</f>
      </c>
      <c r="D24" s="2" t="str">
        <f>IF(A24="","",IFERROR(INDIRECT("'"&amp;$B$4&amp;"'!M24"),"取得不可"))</f>
      </c>
      <c r="E24" s="2" t="str">
        <f>IF(A24="","",IFERROR(INDIRECT("'"&amp;$B$4&amp;"'!N24"),"取得不可"))</f>
      </c>
      <c r="F24" s="2" t="str">
        <f>IF(OR(A24="",$B$10&lt;&gt;"OK"),"",ROUND(C24*(1-'採算シミュレーション'!$B$9/100),0))</f>
      </c>
      <c r="G24" s="2" t="str">
        <f>IF(OR(A24="",$B$10&lt;&gt;"OK"),"",ROUND(D24*(1+'採算シミュレーション'!$B$11),0))</f>
      </c>
      <c r="H24" s="2" t="str">
        <f>IF(OR(A24="",$B$10&lt;&gt;"OK"),"",ROUND(C24*(1-'見積入力'!$B$8),0))</f>
      </c>
      <c r="I24" s="2" t="str">
        <f>IF(A24="","",'見積入力'!G24)</f>
      </c>
      <c r="J24" s="2" t="str">
        <f>IF(A24="","",IF(AND(ISNUMBER(D24),ISNUMBER(E24),E24&gt;0),"OK","原価の紐付け不足"))</f>
      </c>
      <c r="K24" s="2"/>
    </row>
    <row r="25" ht="24" customHeight="1">
      <c r="A25" s="2" t="str">
        <f>IF('見積入力'!A25="","",'見積入力'!A25)</f>
      </c>
      <c r="B25" s="2" t="str">
        <f>IF(A25="","",'見積入力'!B25)</f>
      </c>
      <c r="C25" s="2" t="str">
        <f>IF(A25="","",'見積入力'!H25)</f>
      </c>
      <c r="D25" s="2" t="str">
        <f>IF(A25="","",IFERROR(INDIRECT("'"&amp;$B$4&amp;"'!M25"),"取得不可"))</f>
      </c>
      <c r="E25" s="2" t="str">
        <f>IF(A25="","",IFERROR(INDIRECT("'"&amp;$B$4&amp;"'!N25"),"取得不可"))</f>
      </c>
      <c r="F25" s="2" t="str">
        <f>IF(OR(A25="",$B$10&lt;&gt;"OK"),"",ROUND(C25*(1-'採算シミュレーション'!$B$9/100),0))</f>
      </c>
      <c r="G25" s="2" t="str">
        <f>IF(OR(A25="",$B$10&lt;&gt;"OK"),"",ROUND(D25*(1+'採算シミュレーション'!$B$11),0))</f>
      </c>
      <c r="H25" s="2" t="str">
        <f>IF(OR(A25="",$B$10&lt;&gt;"OK"),"",ROUND(C25*(1-'見積入力'!$B$8),0))</f>
      </c>
      <c r="I25" s="2" t="str">
        <f>IF(A25="","",'見積入力'!G25)</f>
      </c>
      <c r="J25" s="2" t="str">
        <f>IF(A25="","",IF(AND(ISNUMBER(D25),ISNUMBER(E25),E25&gt;0),"OK","原価の紐付け不足"))</f>
      </c>
      <c r="K25" s="2"/>
    </row>
    <row r="26" ht="2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30" customHeight="1">
      <c r="A29" s="2" t="str">
        <v>基準原価</v>
      </c>
      <c r="B29" s="14" t="n">
        <f>IF(B10="OK",SUM(D16:D25)+B9,"")</f>
        <v>88000</v>
      </c>
      <c r="C29" s="2"/>
      <c r="D29" s="2"/>
      <c r="E29" s="2"/>
      <c r="F29" s="2"/>
      <c r="G29" s="2"/>
      <c r="H29" s="2"/>
      <c r="I29" s="2"/>
      <c r="J29" s="2"/>
      <c r="K29" s="2"/>
      <c r="L29" s="18" t="str">
        <v>項目</v>
      </c>
      <c r="M29" s="18" t="str">
        <v>基準</v>
      </c>
      <c r="N29" s="18" t="str">
        <v>試算</v>
      </c>
    </row>
    <row r="30" ht="24" customHeight="1">
      <c r="A30" s="2" t="str">
        <v>試算売上</v>
      </c>
      <c r="B30" s="14" t="n">
        <f>IF(B10="OK",SUM(F16:F25),"")</f>
        <v>160000</v>
      </c>
      <c r="C30" s="2"/>
      <c r="D30" s="2"/>
      <c r="E30" s="2"/>
      <c r="F30" s="2"/>
      <c r="G30" s="2"/>
      <c r="H30" s="2"/>
      <c r="I30" s="2"/>
      <c r="J30" s="2"/>
      <c r="K30" s="2"/>
      <c r="L30" t="str">
        <v>売上</v>
      </c>
      <c r="M30" t="n">
        <f>B12</f>
        <v>160000</v>
      </c>
      <c r="N30" t="n">
        <f>B30</f>
        <v>160000</v>
      </c>
    </row>
    <row r="31" ht="24" customHeight="1">
      <c r="A31" s="2" t="str">
        <v>試算原価</v>
      </c>
      <c r="B31" s="14" t="n">
        <f>IF(B10="OK",SUM(G16:G25)+B41,"")</f>
        <v>88000</v>
      </c>
      <c r="C31" s="2"/>
      <c r="D31" s="2"/>
      <c r="E31" s="2"/>
      <c r="F31" s="2"/>
      <c r="G31" s="2"/>
      <c r="H31" s="2"/>
      <c r="I31" s="2"/>
      <c r="J31" s="2"/>
      <c r="K31" s="2"/>
      <c r="L31" t="str">
        <v>原価</v>
      </c>
      <c r="M31" t="n">
        <f>B29</f>
        <v>88000</v>
      </c>
      <c r="N31" t="n">
        <f>B31</f>
        <v>88000</v>
      </c>
    </row>
    <row r="32" ht="24" customHeight="1">
      <c r="A32" s="2" t="str">
        <v>予定案件利益</v>
      </c>
      <c r="B32" s="14" t="n">
        <f>IF(B10="OK",B30-B31,"")</f>
        <v>72000</v>
      </c>
      <c r="C32" s="2"/>
      <c r="D32" s="2"/>
      <c r="E32" s="2"/>
      <c r="F32" s="2"/>
      <c r="G32" s="2"/>
      <c r="H32" s="2"/>
      <c r="I32" s="2"/>
      <c r="J32" s="2"/>
      <c r="K32" s="2"/>
      <c r="L32" t="str">
        <v>利益</v>
      </c>
      <c r="M32" t="n">
        <f>B40</f>
        <v>72000</v>
      </c>
      <c r="N32" t="n">
        <f>B32</f>
        <v>72000</v>
      </c>
    </row>
    <row r="33" ht="24" customHeight="1">
      <c r="A33" s="2" t="str">
        <v>予定案件利益率</v>
      </c>
      <c r="B33" s="26" t="n">
        <f>IF(B10="OK",IF(B30=0,"算出不可",B32/B30),"")</f>
        <v>0.45</v>
      </c>
      <c r="C33" s="2"/>
      <c r="D33" s="2"/>
      <c r="E33" s="2"/>
      <c r="F33" s="2"/>
      <c r="G33" s="2"/>
      <c r="H33" s="2"/>
      <c r="I33" s="2"/>
      <c r="J33" s="2"/>
      <c r="K33" s="2"/>
    </row>
    <row r="34" ht="24" customHeight="1">
      <c r="A34" s="2" t="str">
        <v>目標必要売価</v>
      </c>
      <c r="B34" s="14" t="n">
        <f>IF(B10="OK",ROUNDUP(B31/(1-'採算シミュレーション'!B7),0),"")</f>
        <v>125715</v>
      </c>
      <c r="C34" s="2"/>
      <c r="D34" s="2"/>
      <c r="E34" s="2"/>
      <c r="F34" s="2"/>
      <c r="G34" s="2"/>
      <c r="H34" s="2"/>
      <c r="I34" s="2"/>
      <c r="J34" s="2"/>
      <c r="K34" s="2"/>
    </row>
    <row r="35" ht="30" customHeight="1">
      <c r="A35" s="2" t="str">
        <v>目標維持値引上限</v>
      </c>
      <c r="B35" s="26" t="n">
        <f>IF(B10="OK",IF(B12=0,"算出不可",IF(B34&gt;B12,"値上げが必要",1-B34/B12)),"")</f>
        <v>0.21428124999999998</v>
      </c>
      <c r="C35" s="2"/>
      <c r="D35" s="2"/>
      <c r="E35" s="2"/>
      <c r="F35" s="2"/>
      <c r="G35" s="2"/>
      <c r="H35" s="2"/>
      <c r="I35" s="2"/>
      <c r="J35" s="2"/>
      <c r="K35" s="2"/>
      <c r="L35" s="18" t="str">
        <v>値引率</v>
      </c>
      <c r="M35" s="18" t="str">
        <v>利益(円)</v>
      </c>
    </row>
    <row r="36" ht="24" customHeight="1">
      <c r="A36" s="2" t="str">
        <v>確定売上</v>
      </c>
      <c r="B36" s="14" t="n">
        <f>IF(B10="OK",SUM(H16:H25),"")</f>
        <v>160000</v>
      </c>
      <c r="C36" s="2"/>
      <c r="D36" s="2"/>
      <c r="E36" s="2"/>
      <c r="F36" s="2"/>
      <c r="G36" s="2"/>
      <c r="H36" s="2"/>
      <c r="I36" s="2"/>
      <c r="J36" s="2"/>
      <c r="K36" s="2"/>
      <c r="L36" t="str">
        <v>0%</v>
      </c>
      <c r="M36" t="n">
        <f>IF(B10="OK",B12*(1-0)-B31,"")</f>
        <v>72000</v>
      </c>
    </row>
    <row r="37" ht="24" customHeight="1">
      <c r="A37" s="2" t="str">
        <v>10%税額</v>
      </c>
      <c r="B37" s="14" t="n">
        <f>IF(B10="OK",ROUNDDOWN(SUMIFS(H16:H25,I16:I25,0.1)*0.1,0),"")</f>
        <v>16000</v>
      </c>
      <c r="C37" s="2"/>
      <c r="D37" s="2"/>
      <c r="E37" s="2"/>
      <c r="F37" s="2"/>
      <c r="G37" s="2"/>
      <c r="H37" s="2"/>
      <c r="I37" s="2"/>
      <c r="J37" s="2"/>
      <c r="K37" s="2"/>
      <c r="L37" t="str">
        <v>5%</v>
      </c>
      <c r="M37" t="n">
        <f>IF(B10="OK",B12*(1-0.05)-B31,"")</f>
        <v>64000</v>
      </c>
    </row>
    <row r="38" ht="24" customHeight="1">
      <c r="A38" s="2" t="str">
        <v>8%税額</v>
      </c>
      <c r="B38" s="14" t="n">
        <f>IF(B10="OK",ROUNDDOWN(SUMIFS(H16:H25,I16:I25,0.08)*0.08,0),"")</f>
        <v>0</v>
      </c>
      <c r="C38" s="2"/>
      <c r="D38" s="2"/>
      <c r="E38" s="2"/>
      <c r="F38" s="2"/>
      <c r="G38" s="2"/>
      <c r="H38" s="2"/>
      <c r="I38" s="2"/>
      <c r="J38" s="2"/>
      <c r="K38" s="2"/>
      <c r="L38" t="str">
        <v>10%</v>
      </c>
      <c r="M38" t="n">
        <f>IF(B10="OK",B12*(1-0.1)-B31,"")</f>
        <v>56000</v>
      </c>
    </row>
    <row r="39" ht="24" customHeight="1">
      <c r="A39" s="2" t="str">
        <v>税込見積額</v>
      </c>
      <c r="B39" s="14" t="n">
        <f>IF(B10="OK",B36+B37+B38,"")</f>
        <v>176000</v>
      </c>
      <c r="C39" s="2"/>
      <c r="D39" s="2"/>
      <c r="E39" s="2"/>
      <c r="F39" s="2"/>
      <c r="G39" s="2"/>
      <c r="H39" s="2"/>
      <c r="I39" s="2"/>
      <c r="J39" s="2"/>
      <c r="K39" s="2"/>
      <c r="L39" t="str">
        <v>15%</v>
      </c>
      <c r="M39" t="n">
        <f>IF(B10="OK",B12*(1-0.15000000000000002)-B31,"")</f>
        <v>48000</v>
      </c>
    </row>
    <row r="40" ht="24" customHeight="1">
      <c r="A40" s="2" t="str">
        <v>基準利益</v>
      </c>
      <c r="B40" s="14" t="n">
        <f>IF(B10="OK",B12-B29,"")</f>
        <v>72000</v>
      </c>
      <c r="C40" s="2"/>
      <c r="D40" s="2"/>
      <c r="E40" s="2"/>
      <c r="F40" s="2"/>
      <c r="G40" s="2"/>
      <c r="H40" s="2"/>
      <c r="I40" s="2"/>
      <c r="J40" s="2"/>
      <c r="K40" s="2"/>
      <c r="L40" t="str">
        <v>20%</v>
      </c>
      <c r="M40" t="n">
        <f>IF(B10="OK",B12*(1-0.2)-B31,"")</f>
        <v>40000</v>
      </c>
    </row>
    <row r="41" ht="24" customHeight="1">
      <c r="A41" s="2" t="str">
        <v>試算共通費</v>
      </c>
      <c r="B41" s="14" t="n">
        <f>IF(B10="OK",ROUND(B9*(1+'採算シミュレーション'!B11),0),"")</f>
        <v>8000</v>
      </c>
      <c r="C41" s="2"/>
      <c r="D41" s="2"/>
      <c r="E41" s="2"/>
      <c r="F41" s="2"/>
      <c r="G41" s="2"/>
      <c r="H41" s="2"/>
      <c r="I41" s="2"/>
      <c r="J41" s="2"/>
      <c r="K41" s="2"/>
      <c r="L41" t="str">
        <v>25%</v>
      </c>
      <c r="M41" t="n">
        <f>IF(B10="OK",B12*(1-0.25)-B31,"")</f>
        <v>32000</v>
      </c>
    </row>
    <row r="42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t="str">
        <v>30%</v>
      </c>
      <c r="M42" t="n">
        <f>IF(B10="OK",B12*(1-0.30000000000000004)-B31,"")</f>
        <v>24000</v>
      </c>
    </row>
    <row r="43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t="str">
        <v>35%</v>
      </c>
      <c r="M43" t="n">
        <f>IF(B10="OK",B12*(1-0.35000000000000003)-B31,"")</f>
        <v>15999.999999999985</v>
      </c>
    </row>
    <row r="44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t="str">
        <v>40%</v>
      </c>
      <c r="M44" t="n">
        <f>IF(B10="OK",B12*(1-0.4)-B31,"")</f>
        <v>8000</v>
      </c>
    </row>
    <row r="45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t="str">
        <v>45%</v>
      </c>
      <c r="M45" t="n">
        <f>IF(B10="OK",B12*(1-0.45)-B31,"")</f>
        <v>0</v>
      </c>
    </row>
    <row r="4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t="str">
        <v>50%</v>
      </c>
      <c r="M46" t="n">
        <f>IF(B10="OK",B12*(1-0.5)-B31,"")</f>
        <v>-8000</v>
      </c>
    </row>
    <row r="47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</sheetData>
  <mergeCells>
    <mergeCell ref="A2:J2"/>
  </mergeCells>
  <pageMargins left="0.7" right="0.7" top="0.75" bottom="0.75" header="0.3" footer="0.3"/>
  <legacyDrawing r:id="Radd7309b87e741ca"/>
</worksheet>
</file>

<file path=xl/worksheets/sheet9.xml><?xml version="1.0" encoding="utf-8"?>
<worksheet xmlns="http://schemas.openxmlformats.org/spreadsheetml/2006/main">
  <sheetPr>
    <tabColor rgb="FF07988A"/>
  </sheetPr>
  <sheetViews>
    <sheetView showGridLines="0" workbookViewId="0" zoomScale="80" zoomScaleNormal="100"/>
  </sheetViews>
  <sheetFormatPr defaultRowHeight="15"/>
  <cols>
    <col min="1" max="1" width="22" hidden="0" customWidth="1"/>
    <col min="2" max="2" width="21" hidden="0" customWidth="1"/>
    <col min="3" max="3" width="24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5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7" t="str">
        <v>使い方・検証</v>
      </c>
      <c r="B2" s="37"/>
      <c r="C2" s="37"/>
      <c r="D2" s="37"/>
      <c r="E2" s="37"/>
      <c r="F2" s="37"/>
      <c r="G2" s="37"/>
      <c r="H2" s="37"/>
      <c r="I2" s="37"/>
      <c r="J2" s="37"/>
      <c r="K2" s="2"/>
    </row>
    <row r="3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>
      <c r="A4" s="10" t="str">
        <v>v0.2 デザイン・売上分析評価用。Windows版Excelでの操作・保存・印刷は未検証です。</v>
      </c>
      <c r="B4" s="10"/>
      <c r="C4" s="10"/>
      <c r="D4" s="10"/>
      <c r="E4" s="10"/>
      <c r="F4" s="10"/>
      <c r="G4" s="10"/>
      <c r="H4" s="10"/>
      <c r="I4" s="10"/>
      <c r="J4" s="10"/>
      <c r="K4" s="2"/>
    </row>
    <row r="5" ht="24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32" customHeight="1">
      <c r="A6" s="10" t="str">
        <v>1. 採算シミュレーションで業種を選び、見積入力に販売明細を入力します。</v>
      </c>
      <c r="B6" s="10"/>
      <c r="C6" s="10"/>
      <c r="D6" s="10"/>
      <c r="E6" s="10"/>
      <c r="F6" s="10"/>
      <c r="G6" s="10"/>
      <c r="H6" s="10"/>
      <c r="I6" s="10"/>
      <c r="J6" s="10"/>
      <c r="K6" s="2"/>
    </row>
    <row r="7" ht="2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ht="32" customHeight="1">
      <c r="A8" s="10" t="str">
        <v>2. 対象の原価シートに原価を入力します。商品ごとに少なくとも1行の原価が必要です。</v>
      </c>
      <c r="B8" s="10"/>
      <c r="C8" s="10"/>
      <c r="D8" s="10"/>
      <c r="E8" s="10"/>
      <c r="F8" s="10"/>
      <c r="G8" s="10"/>
      <c r="H8" s="10"/>
      <c r="I8" s="10"/>
      <c r="J8" s="10"/>
      <c r="K8" s="2"/>
    </row>
    <row r="9" ht="24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ht="32" customHeight="1">
      <c r="A10" s="10" t="str">
        <v>3. 値引率・原価増減率を変更し、利益を確認します。見積書は確定値引率だけを使用します。</v>
      </c>
      <c r="B10" s="10"/>
      <c r="C10" s="10"/>
      <c r="D10" s="10"/>
      <c r="E10" s="10"/>
      <c r="F10" s="10"/>
      <c r="G10" s="10"/>
      <c r="H10" s="10"/>
      <c r="I10" s="10"/>
      <c r="J10" s="10"/>
      <c r="K10" s="2"/>
    </row>
    <row r="11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32" customHeight="1">
      <c r="A12" s="10" t="str">
        <v>4. 見積書の宛先・発行日・税区分を確認し、Excelの印刷／PDF保存で出力します。</v>
      </c>
      <c r="B12" s="10"/>
      <c r="C12" s="10"/>
      <c r="D12" s="10"/>
      <c r="E12" s="10"/>
      <c r="F12" s="10"/>
      <c r="G12" s="10"/>
      <c r="H12" s="10"/>
      <c r="I12" s="10"/>
      <c r="J12" s="10"/>
      <c r="K12" s="2"/>
    </row>
    <row r="13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32" customHeight="1">
      <c r="A14" s="10" t="str">
        <v>淡い緑色が入力欄。全シートの固定・保護・数式ロックを解除済み。数式の上書きにご注意ください。</v>
      </c>
      <c r="B14" s="10"/>
      <c r="C14" s="10"/>
      <c r="D14" s="10"/>
      <c r="E14" s="10"/>
      <c r="F14" s="10"/>
      <c r="G14" s="10"/>
      <c r="H14" s="10"/>
      <c r="I14" s="10"/>
      <c r="J14" s="10"/>
      <c r="K14" s="2"/>
    </row>
    <row r="15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32" customHeight="1">
      <c r="A16" s="10" t="str">
        <v>上限：販売10明細、原価40明細/業種。行追加・削除ではなく、用意した入力欄を使用してください。</v>
      </c>
      <c r="B16" s="10"/>
      <c r="C16" s="10"/>
      <c r="D16" s="10"/>
      <c r="E16" s="10"/>
      <c r="F16" s="10"/>
      <c r="G16" s="10"/>
      <c r="H16" s="10"/>
      <c r="I16" s="10"/>
      <c r="J16" s="10"/>
      <c r="K16" s="2"/>
    </row>
    <row r="17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32" customHeight="1">
      <c r="A18" s="10" t="str">
        <v>案件共通費は商品へ自動配賦しません。商品別差額は案件共通費控除前、案件利益は控除後です。</v>
      </c>
      <c r="B18" s="10"/>
      <c r="C18" s="10"/>
      <c r="D18" s="10"/>
      <c r="E18" s="10"/>
      <c r="F18" s="10"/>
      <c r="G18" s="10"/>
      <c r="H18" s="10"/>
      <c r="I18" s="10"/>
      <c r="J18" s="10"/>
      <c r="K18" s="2"/>
    </row>
    <row r="19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32" customHeight="1">
      <c r="A20" s="10" t="str">
        <v>数量連動は一定の使用量・単価を仮定します。数量変更後は歩留まり・段取り・配送条件を再確認してください。</v>
      </c>
      <c r="B20" s="10"/>
      <c r="C20" s="10"/>
      <c r="D20" s="10"/>
      <c r="E20" s="10"/>
      <c r="F20" s="10"/>
      <c r="G20" s="10"/>
      <c r="H20" s="10"/>
      <c r="I20" s="10"/>
      <c r="J20" s="10"/>
      <c r="K20" s="2"/>
    </row>
    <row r="21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32" customHeight="1">
      <c r="A22" s="10" t="str">
        <v>農業原価は1作物・1栽培単位の平均原価。等級別原価・複数作物・仕掛品・在庫管理は対象外です。</v>
      </c>
      <c r="B22" s="10"/>
      <c r="C22" s="10"/>
      <c r="D22" s="10"/>
      <c r="E22" s="10"/>
      <c r="F22" s="10"/>
      <c r="G22" s="10"/>
      <c r="H22" s="10"/>
      <c r="I22" s="10"/>
      <c r="J22" s="10"/>
      <c r="K22" s="2"/>
    </row>
    <row r="23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32" customHeight="1">
      <c r="A24" s="10" t="str">
        <v>生産費用には栽培・収穫まで、出荷費用には選別・梱包・配送を計上する例です。重複計上に注意。</v>
      </c>
      <c r="B24" s="10"/>
      <c r="C24" s="10"/>
      <c r="D24" s="10"/>
      <c r="E24" s="10"/>
      <c r="F24" s="10"/>
      <c r="G24" s="10"/>
      <c r="H24" s="10"/>
      <c r="I24" s="10"/>
      <c r="J24" s="10"/>
      <c r="K24" s="2"/>
    </row>
    <row r="25" ht="2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32" customHeight="1">
      <c r="A26" s="10" t="str">
        <v>予定案件利益は入力費用に基づく管理用試算。会計上の売上総利益・営業利益とは一致しない場合があります。</v>
      </c>
      <c r="B26" s="10"/>
      <c r="C26" s="10"/>
      <c r="D26" s="10"/>
      <c r="E26" s="10"/>
      <c r="F26" s="10"/>
      <c r="G26" s="10"/>
      <c r="H26" s="10"/>
      <c r="I26" s="10"/>
      <c r="J26" s="10"/>
      <c r="K26" s="2"/>
    </row>
    <row r="27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32" customHeight="1">
      <c r="A28" s="10" t="str">
        <v>共通経費を含めない場合は「今回は未算入」を選択します。原価0円は実際に0円と判断したときだけ入力。</v>
      </c>
      <c r="B28" s="10"/>
      <c r="C28" s="10"/>
      <c r="D28" s="10"/>
      <c r="E28" s="10"/>
      <c r="F28" s="10"/>
      <c r="G28" s="10"/>
      <c r="H28" s="10"/>
      <c r="I28" s="10"/>
      <c r="J28" s="10"/>
      <c r="K28" s="2"/>
    </row>
    <row r="29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32" customHeight="1">
      <c r="A30" s="10" t="str">
        <v>業種削除：残す業種を選択 → 設定の不要業種行を削除 → 不要原価シートを削除。</v>
      </c>
      <c r="B30" s="10"/>
      <c r="C30" s="10"/>
      <c r="D30" s="10"/>
      <c r="E30" s="10"/>
      <c r="F30" s="10"/>
      <c r="G30" s="10"/>
      <c r="H30" s="10"/>
      <c r="I30" s="10"/>
      <c r="J30" s="10"/>
      <c r="K30" s="2"/>
    </row>
    <row r="31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32" customHeight="1">
      <c r="A32" s="10" t="str">
        <v>共通シート・計算・原価L:Nは計算に必要です。ロックはありませんが、数式を変更しないでください。</v>
      </c>
      <c r="B32" s="10"/>
      <c r="C32" s="10"/>
      <c r="D32" s="10"/>
      <c r="E32" s="10"/>
      <c r="F32" s="10"/>
      <c r="G32" s="10"/>
      <c r="H32" s="10"/>
      <c r="I32" s="10"/>
      <c r="J32" s="10"/>
      <c r="K32" s="2"/>
    </row>
    <row r="33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32" customHeight="1">
      <c r="A34" s="10" t="str">
        <v>見積書には原価・利益は出しません。ただしExcel本体には原価があるため、顧客へ渡すのはPDFです。</v>
      </c>
      <c r="B34" s="10"/>
      <c r="C34" s="10"/>
      <c r="D34" s="10"/>
      <c r="E34" s="10"/>
      <c r="F34" s="10"/>
      <c r="G34" s="10"/>
      <c r="H34" s="10"/>
      <c r="I34" s="10"/>
      <c r="J34" s="10"/>
      <c r="K34" s="2"/>
    </row>
    <row r="35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32" customHeight="1">
      <c r="A36" s="10" t="str">
        <v>試算値引率は整数0～100%。目標利益率は0%以上100%未満。原価増減率は-100%～1000%。</v>
      </c>
      <c r="B36" s="10"/>
      <c r="C36" s="10"/>
      <c r="D36" s="10"/>
      <c r="E36" s="10"/>
      <c r="F36" s="10"/>
      <c r="G36" s="10"/>
      <c r="H36" s="10"/>
      <c r="I36" s="10"/>
      <c r="J36" s="10"/>
      <c r="K36" s="2"/>
    </row>
    <row r="3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32" customHeight="1">
      <c r="A38" s="10" t="str">
        <v>商品別原価・売価は円単位四捨五入。税額は税率ごとの値引き後合計に対して円未満切捨て。</v>
      </c>
      <c r="B38" s="10"/>
      <c r="C38" s="10"/>
      <c r="D38" s="10"/>
      <c r="E38" s="10"/>
      <c r="F38" s="10"/>
      <c r="G38" s="10"/>
      <c r="H38" s="10"/>
      <c r="I38" s="10"/>
      <c r="J38" s="10"/>
      <c r="K38" s="2"/>
    </row>
    <row r="39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32" customHeight="1">
      <c r="A40" s="10" t="str">
        <v>見積書は10%・8%・0%の入力に対応。税区分の適用判断・適格請求書の発行機能は対象外です。</v>
      </c>
      <c r="B40" s="10"/>
      <c r="C40" s="10"/>
      <c r="D40" s="10"/>
      <c r="E40" s="10"/>
      <c r="F40" s="10"/>
      <c r="G40" s="10"/>
      <c r="H40" s="10"/>
      <c r="I40" s="10"/>
      <c r="J40" s="10"/>
      <c r="K40" s="2"/>
    </row>
    <row r="41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32" customHeight="1">
      <c r="A42" s="10" t="str">
        <v>下記互換性表は仕様の確認範囲。最古の動作保証バージョンは実機検証後に確定します。</v>
      </c>
      <c r="B42" s="10"/>
      <c r="C42" s="10"/>
      <c r="D42" s="10"/>
      <c r="E42" s="10"/>
      <c r="F42" s="10"/>
      <c r="G42" s="10"/>
      <c r="H42" s="10"/>
      <c r="I42" s="10"/>
      <c r="J42" s="10"/>
      <c r="K42" s="2"/>
    </row>
    <row r="43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30" customHeight="1">
      <c r="A46" s="6" t="str">
        <v>機能</v>
      </c>
      <c r="B46" s="6" t="str">
        <v>仕様確認範囲</v>
      </c>
      <c r="C46" s="6" t="str">
        <v>実機確認</v>
      </c>
      <c r="D46" s="6" t="str">
        <v>最古の保証版</v>
      </c>
      <c r="E46" s="2"/>
      <c r="F46" s="2"/>
      <c r="G46" s="2"/>
      <c r="H46" s="2"/>
      <c r="I46" s="2"/>
      <c r="J46" s="2"/>
      <c r="K46" s="2"/>
    </row>
    <row r="47" ht="24" customHeight="1">
      <c r="A47" s="2" t="str">
        <v>IF/SUMIFS/INDEX/MATCH等</v>
      </c>
      <c r="B47" s="2" t="str">
        <v>2016以降の公式資料を参照</v>
      </c>
      <c r="C47" s="2" t="str">
        <v>未実施</v>
      </c>
      <c r="D47" s="2" t="str">
        <v>未確定</v>
      </c>
      <c r="E47" s="2"/>
      <c r="F47" s="2"/>
      <c r="G47" s="2"/>
      <c r="H47" s="2"/>
      <c r="I47" s="2"/>
      <c r="J47" s="2"/>
      <c r="K47" s="2"/>
    </row>
    <row r="48" ht="24" customHeight="1">
      <c r="A48" s="2" t="str">
        <v>INDIRECTによる切替</v>
      </c>
      <c r="B48" s="2" t="str">
        <v>2016以降の公式資料を参照</v>
      </c>
      <c r="C48" s="2" t="str">
        <v>未実施</v>
      </c>
      <c r="D48" s="2" t="str">
        <v>未確定</v>
      </c>
      <c r="E48" s="2"/>
      <c r="F48" s="2"/>
      <c r="G48" s="2"/>
      <c r="H48" s="2"/>
      <c r="I48" s="2"/>
      <c r="J48" s="2"/>
      <c r="K48" s="2"/>
    </row>
    <row r="49" ht="24" customHeight="1">
      <c r="A49" s="2" t="str">
        <v>標準グラフ・入力規則</v>
      </c>
      <c r="B49" s="2" t="str">
        <v>対象Excelごとに要確認</v>
      </c>
      <c r="C49" s="2" t="str">
        <v>未実施</v>
      </c>
      <c r="D49" s="2" t="str">
        <v>未確定</v>
      </c>
      <c r="E49" s="2"/>
      <c r="F49" s="2"/>
      <c r="G49" s="2"/>
      <c r="H49" s="2"/>
      <c r="I49" s="2"/>
      <c r="J49" s="2"/>
      <c r="K49" s="2"/>
    </row>
    <row r="50" ht="24" customHeight="1">
      <c r="A50" s="2" t="str">
        <v>スクロールバー</v>
      </c>
      <c r="B50" s="2" t="str">
        <v>VML組込・操作は未検証</v>
      </c>
      <c r="C50" s="2" t="str">
        <v>未実施</v>
      </c>
      <c r="D50" s="2" t="str">
        <v>未確定</v>
      </c>
      <c r="E50" s="2"/>
      <c r="F50" s="2"/>
      <c r="G50" s="2"/>
      <c r="H50" s="2"/>
      <c r="I50" s="2"/>
      <c r="J50" s="2"/>
      <c r="K50" s="2"/>
    </row>
    <row r="51" ht="24" customHeight="1">
      <c r="A51" s="2" t="str">
        <v>印刷・PDF保存</v>
      </c>
      <c r="B51" s="2" t="str">
        <v>対象Excelごとに要確認</v>
      </c>
      <c r="C51" s="2" t="str">
        <v>未実施</v>
      </c>
      <c r="D51" s="2" t="str">
        <v>未確定</v>
      </c>
      <c r="E51" s="2"/>
      <c r="F51" s="2"/>
      <c r="G51" s="2"/>
      <c r="H51" s="2"/>
      <c r="I51" s="2"/>
      <c r="J51" s="2"/>
      <c r="K51" s="2"/>
    </row>
    <row r="52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32" customHeight="1">
      <c r="A54" s="10" t="str">
        <v>参考：https://support.microsoft.com/en-us/excel/functions/indirect-function</v>
      </c>
      <c r="B54" s="10"/>
      <c r="C54" s="10"/>
      <c r="D54" s="10"/>
      <c r="E54" s="10"/>
      <c r="F54" s="10"/>
      <c r="G54" s="10"/>
      <c r="H54" s="10"/>
      <c r="I54" s="10"/>
      <c r="J54" s="10"/>
      <c r="K54" s="2"/>
    </row>
    <row r="55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32" customHeight="1">
      <c r="A56" s="10" t="str">
        <v>参考：https://support.microsoft.com/en-us/excel/add-a-scroll-bar-or-spin-button-to-a-worksheet</v>
      </c>
      <c r="B56" s="10"/>
      <c r="C56" s="10"/>
      <c r="D56" s="10"/>
      <c r="E56" s="10"/>
      <c r="F56" s="10"/>
      <c r="G56" s="10"/>
      <c r="H56" s="10"/>
      <c r="I56" s="10"/>
      <c r="J56" s="10"/>
      <c r="K56" s="2"/>
    </row>
    <row r="5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</sheetData>
  <mergeCells>
    <mergeCell ref="A2:J2"/>
    <mergeCell ref="A4:J4"/>
    <mergeCell ref="A6:J6"/>
    <mergeCell ref="A8:J8"/>
    <mergeCell ref="A10:J10"/>
    <mergeCell ref="A12:J12"/>
    <mergeCell ref="A14:J14"/>
    <mergeCell ref="A16:J16"/>
    <mergeCell ref="A18:J18"/>
    <mergeCell ref="A20:J20"/>
    <mergeCell ref="A22:J22"/>
    <mergeCell ref="A24:J24"/>
    <mergeCell ref="A26:J26"/>
    <mergeCell ref="A28:J28"/>
    <mergeCell ref="A30:J30"/>
    <mergeCell ref="A32:J32"/>
    <mergeCell ref="A34:J34"/>
    <mergeCell ref="A36:J36"/>
    <mergeCell ref="A38:J38"/>
    <mergeCell ref="A40:J40"/>
    <mergeCell ref="A42:J42"/>
    <mergeCell ref="A54:J54"/>
    <mergeCell ref="A56:J5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7988A"/>
  </sheetPr>
  <sheetViews>
    <sheetView showGridLines="0" workbookViewId="0" zoomScale="80" zoomScaleNormal="100"/>
  </sheetViews>
  <sheetFormatPr defaultRowHeight="15"/>
  <cols>
    <col min="1" max="1" width="22" hidden="0" customWidth="1"/>
    <col min="2" max="2" width="12" hidden="0" customWidth="1"/>
    <col min="3" max="3" width="12" hidden="0" customWidth="1"/>
    <col min="4" max="4" width="12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</cols>
  <sheetData>
    <row r="1" ht="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44" customHeight="1">
      <c r="A2" s="40" t="str">
        <v>売上分析  |  商品と季節の動きをつかむ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ht="25" customHeight="1">
      <c r="A3" s="2" t="str">
        <v>すべて架空の販売履歴です。現在の見積・予定案件利益には加算されません。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25" customHeight="1">
      <c r="A5" s="2" t="str">
        <v>対象業種</v>
      </c>
      <c r="B5" s="51" t="str">
        <v>全業種</v>
      </c>
      <c r="C5" s="2"/>
      <c r="D5" s="2" t="str">
        <v>対象年</v>
      </c>
      <c r="E5" s="51" t="n">
        <v>2026</v>
      </c>
      <c r="F5" s="2"/>
      <c r="G5" s="2" t="str">
        <v>開始月</v>
      </c>
      <c r="H5" s="51" t="n">
        <v>1</v>
      </c>
      <c r="I5" s="2"/>
      <c r="J5" s="2" t="str">
        <v>終了月</v>
      </c>
      <c r="K5" s="51" t="n">
        <v>12</v>
      </c>
      <c r="L5" s="2"/>
      <c r="M5" s="2"/>
    </row>
    <row r="6" ht="25" customHeight="1">
      <c r="A6" s="2" t="str">
        <f>IF(AND(OR(B5="全業種",B5="木工所",B5="農家"),OR(E5=2025,E5=2026),ISNUMBER(H5),ISNUMBER(K5),H5&gt;=1,K5&lt;=12,H5&lt;=K5,MOD(H5,1)=0,MOD(K5,1)=0),"共通フィルター：KPI・3グラフ・ヒートマップが連動","期間・業種の入力を確認してください")</f>
        <v>共通フィルター：KPI・3グラフ・ヒートマップが連動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25" customHeight="1">
      <c r="A8" s="2" t="str">
        <v>税抜売上</v>
      </c>
      <c r="B8" s="2"/>
      <c r="C8" s="2"/>
      <c r="D8" s="2"/>
      <c r="E8" s="2"/>
      <c r="F8" s="2" t="str">
        <v>計上原価控除後差額</v>
      </c>
      <c r="G8" s="2"/>
      <c r="H8" s="2"/>
      <c r="I8" s="2"/>
      <c r="J8" s="2"/>
      <c r="K8" s="2" t="str">
        <v>同差額率</v>
      </c>
      <c r="L8" s="2"/>
      <c r="M8" s="2"/>
    </row>
    <row r="9" ht="25" customHeight="1">
      <c r="A9" s="49" t="n">
        <f>SUM(B43:B54)</f>
        <v>47492700</v>
      </c>
      <c r="B9" s="48"/>
      <c r="C9" s="48"/>
      <c r="D9" s="48"/>
      <c r="E9" s="2"/>
      <c r="F9" s="49" t="n">
        <f>SUM(C43:C54)</f>
        <v>18852426</v>
      </c>
      <c r="G9" s="48"/>
      <c r="H9" s="48"/>
      <c r="I9" s="48"/>
      <c r="J9" s="2"/>
      <c r="K9" s="50" t="n">
        <f>IF(A9=0,"算出不可",F9/A9)</f>
        <v>0.3969541845378342</v>
      </c>
      <c r="L9" s="48"/>
      <c r="M9" s="48"/>
    </row>
    <row r="10" ht="25" customHeight="1">
      <c r="A10" s="48"/>
      <c r="B10" s="48"/>
      <c r="C10" s="48"/>
      <c r="D10" s="48"/>
      <c r="E10" s="2"/>
      <c r="F10" s="48"/>
      <c r="G10" s="48"/>
      <c r="H10" s="48"/>
      <c r="I10" s="48"/>
      <c r="J10" s="2"/>
      <c r="K10" s="48"/>
      <c r="L10" s="48"/>
      <c r="M10" s="48"/>
    </row>
    <row r="11" ht="25" customHeight="1">
      <c r="A11" s="2" t="str">
        <v>差額は売上履歴の計上原価のみを控除。会計上の粗利・営業利益や現在の見積利益とは区別します。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ht="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ht="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30" customHeight="1">
      <c r="A27" s="6" t="str">
        <v>商品／月</v>
      </c>
      <c r="B27" s="6" t="str">
        <v>1月</v>
      </c>
      <c r="C27" s="6" t="str">
        <v>2月</v>
      </c>
      <c r="D27" s="6" t="str">
        <v>3月</v>
      </c>
      <c r="E27" s="6" t="str">
        <v>4月</v>
      </c>
      <c r="F27" s="6" t="str">
        <v>5月</v>
      </c>
      <c r="G27" s="6" t="str">
        <v>6月</v>
      </c>
      <c r="H27" s="6" t="str">
        <v>7月</v>
      </c>
      <c r="I27" s="6" t="str">
        <v>8月</v>
      </c>
      <c r="J27" s="6" t="str">
        <v>9月</v>
      </c>
      <c r="K27" s="6" t="str">
        <v>10月</v>
      </c>
      <c r="L27" s="6" t="str">
        <v>11月</v>
      </c>
      <c r="M27" s="6" t="str">
        <v>12月</v>
      </c>
    </row>
    <row r="28" ht="32" customHeight="1">
      <c r="A28" s="2" t="str">
        <v>テーブル</v>
      </c>
      <c r="B28" s="46" t="n">
        <f>IF(OR($A$6&lt;&gt;"共通フィルター：KPI・3グラフ・ヒートマップが連動",1&lt;$H$5,1&gt;$K$5,AND($B$5&lt;&gt;"全業種",$B$5&lt;&gt;"木工所")),"",SUMIFS('売上データ'!$F$5:$F$580,'売上データ'!$C$5:$C$580,$A28,'売上データ'!$A$5:$A$580,"&gt;="&amp;DATE($E$5,1,1),'売上データ'!$A$5:$A$580,"&lt;"&amp;DATE($E$5,2,1)))</f>
        <v>1700000</v>
      </c>
      <c r="C28" s="46" t="n">
        <f>IF(OR($A$6&lt;&gt;"共通フィルター：KPI・3グラフ・ヒートマップが連動",2&lt;$H$5,2&gt;$K$5,AND($B$5&lt;&gt;"全業種",$B$5&lt;&gt;"木工所")),"",SUMIFS('売上データ'!$F$5:$F$580,'売上データ'!$C$5:$C$580,$A28,'売上データ'!$A$5:$A$580,"&gt;="&amp;DATE($E$5,2,1),'売上データ'!$A$5:$A$580,"&lt;"&amp;DATE($E$5,3,1)))</f>
        <v>1050000</v>
      </c>
      <c r="D28" s="46" t="n">
        <f>IF(OR($A$6&lt;&gt;"共通フィルター：KPI・3グラフ・ヒートマップが連動",3&lt;$H$5,3&gt;$K$5,AND($B$5&lt;&gt;"全業種",$B$5&lt;&gt;"木工所")),"",SUMIFS('売上データ'!$F$5:$F$580,'売上データ'!$C$5:$C$580,$A28,'売上データ'!$A$5:$A$580,"&gt;="&amp;DATE($E$5,3,1),'売上データ'!$A$5:$A$580,"&lt;"&amp;DATE($E$5,4,1)))</f>
        <v>1250000</v>
      </c>
      <c r="E28" s="46" t="n">
        <f>IF(OR($A$6&lt;&gt;"共通フィルター：KPI・3グラフ・ヒートマップが連動",4&lt;$H$5,4&gt;$K$5,AND($B$5&lt;&gt;"全業種",$B$5&lt;&gt;"木工所")),"",SUMIFS('売上データ'!$F$5:$F$580,'売上データ'!$C$5:$C$580,$A28,'売上データ'!$A$5:$A$580,"&gt;="&amp;DATE($E$5,4,1),'売上データ'!$A$5:$A$580,"&lt;"&amp;DATE($E$5,5,1)))</f>
        <v>1450000</v>
      </c>
      <c r="F28" s="46" t="n">
        <f>IF(OR($A$6&lt;&gt;"共通フィルター：KPI・3グラフ・ヒートマップが連動",5&lt;$H$5,5&gt;$K$5,AND($B$5&lt;&gt;"全業種",$B$5&lt;&gt;"木工所")),"",SUMIFS('売上データ'!$F$5:$F$580,'売上データ'!$C$5:$C$580,$A28,'売上データ'!$A$5:$A$580,"&gt;="&amp;DATE($E$5,5,1),'売上データ'!$A$5:$A$580,"&lt;"&amp;DATE($E$5,6,1)))</f>
        <v>1650000</v>
      </c>
      <c r="G28" s="46" t="n">
        <f>IF(OR($A$6&lt;&gt;"共通フィルター：KPI・3グラフ・ヒートマップが連動",6&lt;$H$5,6&gt;$K$5,AND($B$5&lt;&gt;"全業種",$B$5&lt;&gt;"木工所")),"",SUMIFS('売上データ'!$F$5:$F$580,'売上データ'!$C$5:$C$580,$A28,'売上データ'!$A$5:$A$580,"&gt;="&amp;DATE($E$5,6,1),'売上データ'!$A$5:$A$580,"&lt;"&amp;DATE($E$5,7,1)))</f>
        <v>1850000</v>
      </c>
      <c r="H28" s="46" t="n">
        <f>IF(OR($A$6&lt;&gt;"共通フィルター：KPI・3グラフ・ヒートマップが連動",7&lt;$H$5,7&gt;$K$5,AND($B$5&lt;&gt;"全業種",$B$5&lt;&gt;"木工所")),"",SUMIFS('売上データ'!$F$5:$F$580,'売上データ'!$C$5:$C$580,$A28,'売上データ'!$A$5:$A$580,"&gt;="&amp;DATE($E$5,7,1),'売上データ'!$A$5:$A$580,"&lt;"&amp;DATE($E$5,8,1)))</f>
        <v>1200000</v>
      </c>
      <c r="I28" s="46" t="n">
        <f>IF(OR($A$6&lt;&gt;"共通フィルター：KPI・3グラフ・ヒートマップが連動",8&lt;$H$5,8&gt;$K$5,AND($B$5&lt;&gt;"全業種",$B$5&lt;&gt;"木工所")),"",SUMIFS('売上データ'!$F$5:$F$580,'売上データ'!$C$5:$C$580,$A28,'売上データ'!$A$5:$A$580,"&gt;="&amp;DATE($E$5,8,1),'売上データ'!$A$5:$A$580,"&lt;"&amp;DATE($E$5,9,1)))</f>
        <v>1400000</v>
      </c>
      <c r="J28" s="46" t="n">
        <f>IF(OR($A$6&lt;&gt;"共通フィルター：KPI・3グラフ・ヒートマップが連動",9&lt;$H$5,9&gt;$K$5,AND($B$5&lt;&gt;"全業種",$B$5&lt;&gt;"木工所")),"",SUMIFS('売上データ'!$F$5:$F$580,'売上データ'!$C$5:$C$580,$A28,'売上データ'!$A$5:$A$580,"&gt;="&amp;DATE($E$5,9,1),'売上データ'!$A$5:$A$580,"&lt;"&amp;DATE($E$5,10,1)))</f>
        <v>1600000</v>
      </c>
      <c r="K28" s="46" t="n">
        <f>IF(OR($A$6&lt;&gt;"共通フィルター：KPI・3グラフ・ヒートマップが連動",10&lt;$H$5,10&gt;$K$5,AND($B$5&lt;&gt;"全業種",$B$5&lt;&gt;"木工所")),"",SUMIFS('売上データ'!$F$5:$F$580,'売上データ'!$C$5:$C$580,$A28,'売上データ'!$A$5:$A$580,"&gt;="&amp;DATE($E$5,10,1),'売上データ'!$A$5:$A$580,"&lt;"&amp;DATE($E$5,11,1)))</f>
        <v>1800000</v>
      </c>
      <c r="L28" s="46" t="n">
        <f>IF(OR($A$6&lt;&gt;"共通フィルター：KPI・3グラフ・ヒートマップが連動",11&lt;$H$5,11&gt;$K$5,AND($B$5&lt;&gt;"全業種",$B$5&lt;&gt;"木工所")),"",SUMIFS('売上データ'!$F$5:$F$580,'売上データ'!$C$5:$C$580,$A28,'売上データ'!$A$5:$A$580,"&gt;="&amp;DATE($E$5,11,1),'売上データ'!$A$5:$A$580,"&lt;"&amp;DATE($E$5,12,1)))</f>
        <v>1150000</v>
      </c>
      <c r="M28" s="46" t="n">
        <f>IF(OR($A$6&lt;&gt;"共通フィルター：KPI・3グラフ・ヒートマップが連動",12&lt;$H$5,12&gt;$K$5,AND($B$5&lt;&gt;"全業種",$B$5&lt;&gt;"木工所")),"",SUMIFS('売上データ'!$F$5:$F$580,'売上データ'!$C$5:$C$580,$A28,'売上データ'!$A$5:$A$580,"&gt;="&amp;DATE($E$5,12,1),'売上データ'!$A$5:$A$580,"&lt;"&amp;DATE($E$5,13,1)))</f>
        <v>1350000</v>
      </c>
    </row>
    <row r="29" ht="32" customHeight="1">
      <c r="A29" s="2" t="str">
        <v>椅子</v>
      </c>
      <c r="B29" s="46" t="n">
        <f>IF(OR($A$6&lt;&gt;"共通フィルター：KPI・3グラフ・ヒートマップが連動",1&lt;$H$5,1&gt;$K$5,AND($B$5&lt;&gt;"全業種",$B$5&lt;&gt;"木工所")),"",SUMIFS('売上データ'!$F$5:$F$580,'売上データ'!$C$5:$C$580,$A29,'売上データ'!$A$5:$A$580,"&gt;="&amp;DATE($E$5,1,1),'売上データ'!$A$5:$A$580,"&lt;"&amp;DATE($E$5,2,1)))</f>
        <v>390000</v>
      </c>
      <c r="C29" s="46" t="n">
        <f>IF(OR($A$6&lt;&gt;"共通フィルター：KPI・3グラフ・ヒートマップが連動",2&lt;$H$5,2&gt;$K$5,AND($B$5&lt;&gt;"全業種",$B$5&lt;&gt;"木工所")),"",SUMIFS('売上データ'!$F$5:$F$580,'売上データ'!$C$5:$C$580,$A29,'売上データ'!$A$5:$A$580,"&gt;="&amp;DATE($E$5,2,1),'売上データ'!$A$5:$A$580,"&lt;"&amp;DATE($E$5,3,1)))</f>
        <v>450000</v>
      </c>
      <c r="D29" s="46" t="n">
        <f>IF(OR($A$6&lt;&gt;"共通フィルター：KPI・3グラフ・ヒートマップが連動",3&lt;$H$5,3&gt;$K$5,AND($B$5&lt;&gt;"全業種",$B$5&lt;&gt;"木工所")),"",SUMIFS('売上データ'!$F$5:$F$580,'売上データ'!$C$5:$C$580,$A29,'売上データ'!$A$5:$A$580,"&gt;="&amp;DATE($E$5,3,1),'売上データ'!$A$5:$A$580,"&lt;"&amp;DATE($E$5,4,1)))</f>
        <v>510000</v>
      </c>
      <c r="E29" s="46" t="n">
        <f>IF(OR($A$6&lt;&gt;"共通フィルター：KPI・3グラフ・ヒートマップが連動",4&lt;$H$5,4&gt;$K$5,AND($B$5&lt;&gt;"全業種",$B$5&lt;&gt;"木工所")),"",SUMIFS('売上データ'!$F$5:$F$580,'売上データ'!$C$5:$C$580,$A29,'売上データ'!$A$5:$A$580,"&gt;="&amp;DATE($E$5,4,1),'売上データ'!$A$5:$A$580,"&lt;"&amp;DATE($E$5,5,1)))</f>
        <v>315000</v>
      </c>
      <c r="F29" s="46" t="n">
        <f>IF(OR($A$6&lt;&gt;"共通フィルター：KPI・3グラフ・ヒートマップが連動",5&lt;$H$5,5&gt;$K$5,AND($B$5&lt;&gt;"全業種",$B$5&lt;&gt;"木工所")),"",SUMIFS('売上データ'!$F$5:$F$580,'売上データ'!$C$5:$C$580,$A29,'売上データ'!$A$5:$A$580,"&gt;="&amp;DATE($E$5,5,1),'売上データ'!$A$5:$A$580,"&lt;"&amp;DATE($E$5,6,1)))</f>
        <v>375000</v>
      </c>
      <c r="G29" s="46" t="n">
        <f>IF(OR($A$6&lt;&gt;"共通フィルター：KPI・3グラフ・ヒートマップが連動",6&lt;$H$5,6&gt;$K$5,AND($B$5&lt;&gt;"全業種",$B$5&lt;&gt;"木工所")),"",SUMIFS('売上データ'!$F$5:$F$580,'売上データ'!$C$5:$C$580,$A29,'売上データ'!$A$5:$A$580,"&gt;="&amp;DATE($E$5,6,1),'売上データ'!$A$5:$A$580,"&lt;"&amp;DATE($E$5,7,1)))</f>
        <v>435000</v>
      </c>
      <c r="H29" s="46" t="n">
        <f>IF(OR($A$6&lt;&gt;"共通フィルター：KPI・3グラフ・ヒートマップが連動",7&lt;$H$5,7&gt;$K$5,AND($B$5&lt;&gt;"全業種",$B$5&lt;&gt;"木工所")),"",SUMIFS('売上データ'!$F$5:$F$580,'売上データ'!$C$5:$C$580,$A29,'売上データ'!$A$5:$A$580,"&gt;="&amp;DATE($E$5,7,1),'売上データ'!$A$5:$A$580,"&lt;"&amp;DATE($E$5,8,1)))</f>
        <v>495000</v>
      </c>
      <c r="I29" s="46" t="n">
        <f>IF(OR($A$6&lt;&gt;"共通フィルター：KPI・3グラフ・ヒートマップが連動",8&lt;$H$5,8&gt;$K$5,AND($B$5&lt;&gt;"全業種",$B$5&lt;&gt;"木工所")),"",SUMIFS('売上データ'!$F$5:$F$580,'売上データ'!$C$5:$C$580,$A29,'売上データ'!$A$5:$A$580,"&gt;="&amp;DATE($E$5,8,1),'売上データ'!$A$5:$A$580,"&lt;"&amp;DATE($E$5,9,1)))</f>
        <v>555000</v>
      </c>
      <c r="J29" s="46" t="n">
        <f>IF(OR($A$6&lt;&gt;"共通フィルター：KPI・3グラフ・ヒートマップが連動",9&lt;$H$5,9&gt;$K$5,AND($B$5&lt;&gt;"全業種",$B$5&lt;&gt;"木工所")),"",SUMIFS('売上データ'!$F$5:$F$580,'売上データ'!$C$5:$C$580,$A29,'売上データ'!$A$5:$A$580,"&gt;="&amp;DATE($E$5,9,1),'売上データ'!$A$5:$A$580,"&lt;"&amp;DATE($E$5,10,1)))</f>
        <v>360000</v>
      </c>
      <c r="K29" s="46" t="n">
        <f>IF(OR($A$6&lt;&gt;"共通フィルター：KPI・3グラフ・ヒートマップが連動",10&lt;$H$5,10&gt;$K$5,AND($B$5&lt;&gt;"全業種",$B$5&lt;&gt;"木工所")),"",SUMIFS('売上データ'!$F$5:$F$580,'売上データ'!$C$5:$C$580,$A29,'売上データ'!$A$5:$A$580,"&gt;="&amp;DATE($E$5,10,1),'売上データ'!$A$5:$A$580,"&lt;"&amp;DATE($E$5,11,1)))</f>
        <v>420000</v>
      </c>
      <c r="L29" s="46" t="n">
        <f>IF(OR($A$6&lt;&gt;"共通フィルター：KPI・3グラフ・ヒートマップが連動",11&lt;$H$5,11&gt;$K$5,AND($B$5&lt;&gt;"全業種",$B$5&lt;&gt;"木工所")),"",SUMIFS('売上データ'!$F$5:$F$580,'売上データ'!$C$5:$C$580,$A29,'売上データ'!$A$5:$A$580,"&gt;="&amp;DATE($E$5,11,1),'売上データ'!$A$5:$A$580,"&lt;"&amp;DATE($E$5,12,1)))</f>
        <v>480000</v>
      </c>
      <c r="M29" s="46" t="n">
        <f>IF(OR($A$6&lt;&gt;"共通フィルター：KPI・3グラフ・ヒートマップが連動",12&lt;$H$5,12&gt;$K$5,AND($B$5&lt;&gt;"全業種",$B$5&lt;&gt;"木工所")),"",SUMIFS('売上データ'!$F$5:$F$580,'売上データ'!$C$5:$C$580,$A29,'売上データ'!$A$5:$A$580,"&gt;="&amp;DATE($E$5,12,1),'売上データ'!$A$5:$A$580,"&lt;"&amp;DATE($E$5,13,1)))</f>
        <v>540000</v>
      </c>
    </row>
    <row r="30" ht="32" customHeight="1">
      <c r="A30" s="2" t="str">
        <v>収納棚</v>
      </c>
      <c r="B30" s="46" t="n">
        <f>IF(OR($A$6&lt;&gt;"共通フィルター：KPI・3グラフ・ヒートマップが連動",1&lt;$H$5,1&gt;$K$5,AND($B$5&lt;&gt;"全業種",$B$5&lt;&gt;"木工所")),"",SUMIFS('売上データ'!$F$5:$F$580,'売上データ'!$C$5:$C$580,$A30,'売上データ'!$A$5:$A$580,"&gt;="&amp;DATE($E$5,1,1),'売上データ'!$A$5:$A$580,"&lt;"&amp;DATE($E$5,2,1)))</f>
        <v>1225000</v>
      </c>
      <c r="C30" s="46" t="n">
        <f>IF(OR($A$6&lt;&gt;"共通フィルター：KPI・3グラフ・ヒートマップが連動",2&lt;$H$5,2&gt;$K$5,AND($B$5&lt;&gt;"全業種",$B$5&lt;&gt;"木工所")),"",SUMIFS('売上データ'!$F$5:$F$580,'売上データ'!$C$5:$C$580,$A30,'売上データ'!$A$5:$A$580,"&gt;="&amp;DATE($E$5,2,1),'売上データ'!$A$5:$A$580,"&lt;"&amp;DATE($E$5,3,1)))</f>
        <v>1365000</v>
      </c>
      <c r="D30" s="46" t="n">
        <f>IF(OR($A$6&lt;&gt;"共通フィルター：KPI・3グラフ・ヒートマップが連動",3&lt;$H$5,3&gt;$K$5,AND($B$5&lt;&gt;"全業種",$B$5&lt;&gt;"木工所")),"",SUMIFS('売上データ'!$F$5:$F$580,'売上データ'!$C$5:$C$580,$A30,'売上データ'!$A$5:$A$580,"&gt;="&amp;DATE($E$5,3,1),'売上データ'!$A$5:$A$580,"&lt;"&amp;DATE($E$5,4,1)))</f>
        <v>910000</v>
      </c>
      <c r="E30" s="46" t="n">
        <f>IF(OR($A$6&lt;&gt;"共通フィルター：KPI・3グラフ・ヒートマップが連動",4&lt;$H$5,4&gt;$K$5,AND($B$5&lt;&gt;"全業種",$B$5&lt;&gt;"木工所")),"",SUMIFS('売上データ'!$F$5:$F$580,'売上データ'!$C$5:$C$580,$A30,'売上データ'!$A$5:$A$580,"&gt;="&amp;DATE($E$5,4,1),'売上データ'!$A$5:$A$580,"&lt;"&amp;DATE($E$5,5,1)))</f>
        <v>1050000</v>
      </c>
      <c r="F30" s="46" t="n">
        <f>IF(OR($A$6&lt;&gt;"共通フィルター：KPI・3グラフ・ヒートマップが連動",5&lt;$H$5,5&gt;$K$5,AND($B$5&lt;&gt;"全業種",$B$5&lt;&gt;"木工所")),"",SUMIFS('売上データ'!$F$5:$F$580,'売上データ'!$C$5:$C$580,$A30,'売上データ'!$A$5:$A$580,"&gt;="&amp;DATE($E$5,5,1),'売上データ'!$A$5:$A$580,"&lt;"&amp;DATE($E$5,6,1)))</f>
        <v>1190000</v>
      </c>
      <c r="G30" s="46" t="n">
        <f>IF(OR($A$6&lt;&gt;"共通フィルター：KPI・3グラフ・ヒートマップが連動",6&lt;$H$5,6&gt;$K$5,AND($B$5&lt;&gt;"全業種",$B$5&lt;&gt;"木工所")),"",SUMIFS('売上データ'!$F$5:$F$580,'売上データ'!$C$5:$C$580,$A30,'売上データ'!$A$5:$A$580,"&gt;="&amp;DATE($E$5,6,1),'売上データ'!$A$5:$A$580,"&lt;"&amp;DATE($E$5,7,1)))</f>
        <v>735000</v>
      </c>
      <c r="H30" s="46" t="n">
        <f>IF(OR($A$6&lt;&gt;"共通フィルター：KPI・3グラフ・ヒートマップが連動",7&lt;$H$5,7&gt;$K$5,AND($B$5&lt;&gt;"全業種",$B$5&lt;&gt;"木工所")),"",SUMIFS('売上データ'!$F$5:$F$580,'売上データ'!$C$5:$C$580,$A30,'売上データ'!$A$5:$A$580,"&gt;="&amp;DATE($E$5,7,1),'売上データ'!$A$5:$A$580,"&lt;"&amp;DATE($E$5,8,1)))</f>
        <v>875000</v>
      </c>
      <c r="I30" s="46" t="n">
        <f>IF(OR($A$6&lt;&gt;"共通フィルター：KPI・3グラフ・ヒートマップが連動",8&lt;$H$5,8&gt;$K$5,AND($B$5&lt;&gt;"全業種",$B$5&lt;&gt;"木工所")),"",SUMIFS('売上データ'!$F$5:$F$580,'売上データ'!$C$5:$C$580,$A30,'売上データ'!$A$5:$A$580,"&gt;="&amp;DATE($E$5,8,1),'売上データ'!$A$5:$A$580,"&lt;"&amp;DATE($E$5,9,1)))</f>
        <v>1015000</v>
      </c>
      <c r="J30" s="46" t="n">
        <f>IF(OR($A$6&lt;&gt;"共通フィルター：KPI・3グラフ・ヒートマップが連動",9&lt;$H$5,9&gt;$K$5,AND($B$5&lt;&gt;"全業種",$B$5&lt;&gt;"木工所")),"",SUMIFS('売上データ'!$F$5:$F$580,'売上データ'!$C$5:$C$580,$A30,'売上データ'!$A$5:$A$580,"&gt;="&amp;DATE($E$5,9,1),'売上データ'!$A$5:$A$580,"&lt;"&amp;DATE($E$5,10,1)))</f>
        <v>1155000</v>
      </c>
      <c r="K30" s="46" t="n">
        <f>IF(OR($A$6&lt;&gt;"共通フィルター：KPI・3グラフ・ヒートマップが連動",10&lt;$H$5,10&gt;$K$5,AND($B$5&lt;&gt;"全業種",$B$5&lt;&gt;"木工所")),"",SUMIFS('売上データ'!$F$5:$F$580,'売上データ'!$C$5:$C$580,$A30,'売上データ'!$A$5:$A$580,"&gt;="&amp;DATE($E$5,10,1),'売上データ'!$A$5:$A$580,"&lt;"&amp;DATE($E$5,11,1)))</f>
        <v>1295000</v>
      </c>
      <c r="L30" s="46" t="n">
        <f>IF(OR($A$6&lt;&gt;"共通フィルター：KPI・3グラフ・ヒートマップが連動",11&lt;$H$5,11&gt;$K$5,AND($B$5&lt;&gt;"全業種",$B$5&lt;&gt;"木工所")),"",SUMIFS('売上データ'!$F$5:$F$580,'売上データ'!$C$5:$C$580,$A30,'売上データ'!$A$5:$A$580,"&gt;="&amp;DATE($E$5,11,1),'売上データ'!$A$5:$A$580,"&lt;"&amp;DATE($E$5,12,1)))</f>
        <v>840000</v>
      </c>
      <c r="M30" s="46" t="n">
        <f>IF(OR($A$6&lt;&gt;"共通フィルター：KPI・3グラフ・ヒートマップが連動",12&lt;$H$5,12&gt;$K$5,AND($B$5&lt;&gt;"全業種",$B$5&lt;&gt;"木工所")),"",SUMIFS('売上データ'!$F$5:$F$580,'売上データ'!$C$5:$C$580,$A30,'売上データ'!$A$5:$A$580,"&gt;="&amp;DATE($E$5,12,1),'売上データ'!$A$5:$A$580,"&lt;"&amp;DATE($E$5,13,1)))</f>
        <v>980000</v>
      </c>
    </row>
    <row r="31" ht="32" customHeight="1">
      <c r="A31" s="2" t="str">
        <v>木製小物</v>
      </c>
      <c r="B31" s="46" t="n">
        <f>IF(OR($A$6&lt;&gt;"共通フィルター：KPI・3グラフ・ヒートマップが連動",1&lt;$H$5,1&gt;$K$5,AND($B$5&lt;&gt;"全業種",$B$5&lt;&gt;"木工所")),"",SUMIFS('売上データ'!$F$5:$F$580,'売上データ'!$C$5:$C$580,$A31,'売上データ'!$A$5:$A$580,"&gt;="&amp;DATE($E$5,1,1),'売上データ'!$A$5:$A$580,"&lt;"&amp;DATE($E$5,2,1)))</f>
        <v>67500</v>
      </c>
      <c r="C31" s="46" t="n">
        <f>IF(OR($A$6&lt;&gt;"共通フィルター：KPI・3グラフ・ヒートマップが連動",2&lt;$H$5,2&gt;$K$5,AND($B$5&lt;&gt;"全業種",$B$5&lt;&gt;"木工所")),"",SUMIFS('売上データ'!$F$5:$F$580,'売上データ'!$C$5:$C$580,$A31,'売上データ'!$A$5:$A$580,"&gt;="&amp;DATE($E$5,2,1),'売上データ'!$A$5:$A$580,"&lt;"&amp;DATE($E$5,3,1)))</f>
        <v>77500</v>
      </c>
      <c r="D31" s="46" t="n">
        <f>IF(OR($A$6&lt;&gt;"共通フィルター：KPI・3グラフ・ヒートマップが連動",3&lt;$H$5,3&gt;$K$5,AND($B$5&lt;&gt;"全業種",$B$5&lt;&gt;"木工所")),"",SUMIFS('売上データ'!$F$5:$F$580,'売上データ'!$C$5:$C$580,$A31,'売上データ'!$A$5:$A$580,"&gt;="&amp;DATE($E$5,3,1),'売上データ'!$A$5:$A$580,"&lt;"&amp;DATE($E$5,4,1)))</f>
        <v>87500</v>
      </c>
      <c r="E31" s="46" t="n">
        <f>IF(OR($A$6&lt;&gt;"共通フィルター：KPI・3グラフ・ヒートマップが連動",4&lt;$H$5,4&gt;$K$5,AND($B$5&lt;&gt;"全業種",$B$5&lt;&gt;"木工所")),"",SUMIFS('売上データ'!$F$5:$F$580,'売上データ'!$C$5:$C$580,$A31,'売上データ'!$A$5:$A$580,"&gt;="&amp;DATE($E$5,4,1),'売上データ'!$A$5:$A$580,"&lt;"&amp;DATE($E$5,5,1)))</f>
        <v>97500</v>
      </c>
      <c r="F31" s="46" t="n">
        <f>IF(OR($A$6&lt;&gt;"共通フィルター：KPI・3グラフ・ヒートマップが連動",5&lt;$H$5,5&gt;$K$5,AND($B$5&lt;&gt;"全業種",$B$5&lt;&gt;"木工所")),"",SUMIFS('売上データ'!$F$5:$F$580,'売上データ'!$C$5:$C$580,$A31,'売上データ'!$A$5:$A$580,"&gt;="&amp;DATE($E$5,5,1),'売上データ'!$A$5:$A$580,"&lt;"&amp;DATE($E$5,6,1)))</f>
        <v>65000</v>
      </c>
      <c r="G31" s="46" t="n">
        <f>IF(OR($A$6&lt;&gt;"共通フィルター：KPI・3グラフ・ヒートマップが連動",6&lt;$H$5,6&gt;$K$5,AND($B$5&lt;&gt;"全業種",$B$5&lt;&gt;"木工所")),"",SUMIFS('売上データ'!$F$5:$F$580,'売上データ'!$C$5:$C$580,$A31,'売上データ'!$A$5:$A$580,"&gt;="&amp;DATE($E$5,6,1),'売上データ'!$A$5:$A$580,"&lt;"&amp;DATE($E$5,7,1)))</f>
        <v>75000</v>
      </c>
      <c r="H31" s="46" t="n">
        <f>IF(OR($A$6&lt;&gt;"共通フィルター：KPI・3グラフ・ヒートマップが連動",7&lt;$H$5,7&gt;$K$5,AND($B$5&lt;&gt;"全業種",$B$5&lt;&gt;"木工所")),"",SUMIFS('売上データ'!$F$5:$F$580,'売上データ'!$C$5:$C$580,$A31,'売上データ'!$A$5:$A$580,"&gt;="&amp;DATE($E$5,7,1),'売上データ'!$A$5:$A$580,"&lt;"&amp;DATE($E$5,8,1)))</f>
        <v>85000</v>
      </c>
      <c r="I31" s="46" t="n">
        <f>IF(OR($A$6&lt;&gt;"共通フィルター：KPI・3グラフ・ヒートマップが連動",8&lt;$H$5,8&gt;$K$5,AND($B$5&lt;&gt;"全業種",$B$5&lt;&gt;"木工所")),"",SUMIFS('売上データ'!$F$5:$F$580,'売上データ'!$C$5:$C$580,$A31,'売上データ'!$A$5:$A$580,"&gt;="&amp;DATE($E$5,8,1),'売上データ'!$A$5:$A$580,"&lt;"&amp;DATE($E$5,9,1)))</f>
        <v>52500</v>
      </c>
      <c r="J31" s="46" t="n">
        <f>IF(OR($A$6&lt;&gt;"共通フィルター：KPI・3グラフ・ヒートマップが連動",9&lt;$H$5,9&gt;$K$5,AND($B$5&lt;&gt;"全業種",$B$5&lt;&gt;"木工所")),"",SUMIFS('売上データ'!$F$5:$F$580,'売上データ'!$C$5:$C$580,$A31,'売上データ'!$A$5:$A$580,"&gt;="&amp;DATE($E$5,9,1),'売上データ'!$A$5:$A$580,"&lt;"&amp;DATE($E$5,10,1)))</f>
        <v>62500</v>
      </c>
      <c r="K31" s="46" t="n">
        <f>IF(OR($A$6&lt;&gt;"共通フィルター：KPI・3グラフ・ヒートマップが連動",10&lt;$H$5,10&gt;$K$5,AND($B$5&lt;&gt;"全業種",$B$5&lt;&gt;"木工所")),"",SUMIFS('売上データ'!$F$5:$F$580,'売上データ'!$C$5:$C$580,$A31,'売上データ'!$A$5:$A$580,"&gt;="&amp;DATE($E$5,10,1),'売上データ'!$A$5:$A$580,"&lt;"&amp;DATE($E$5,11,1)))</f>
        <v>72500</v>
      </c>
      <c r="L31" s="46" t="n">
        <f>IF(OR($A$6&lt;&gt;"共通フィルター：KPI・3グラフ・ヒートマップが連動",11&lt;$H$5,11&gt;$K$5,AND($B$5&lt;&gt;"全業種",$B$5&lt;&gt;"木工所")),"",SUMIFS('売上データ'!$F$5:$F$580,'売上データ'!$C$5:$C$580,$A31,'売上データ'!$A$5:$A$580,"&gt;="&amp;DATE($E$5,11,1),'売上データ'!$A$5:$A$580,"&lt;"&amp;DATE($E$5,12,1)))</f>
        <v>82500</v>
      </c>
      <c r="M31" s="46" t="n">
        <f>IF(OR($A$6&lt;&gt;"共通フィルター：KPI・3グラフ・ヒートマップが連動",12&lt;$H$5,12&gt;$K$5,AND($B$5&lt;&gt;"全業種",$B$5&lt;&gt;"木工所")),"",SUMIFS('売上データ'!$F$5:$F$580,'売上データ'!$C$5:$C$580,$A31,'売上データ'!$A$5:$A$580,"&gt;="&amp;DATE($E$5,12,1),'売上データ'!$A$5:$A$580,"&lt;"&amp;DATE($E$5,13,1)))</f>
        <v>92500</v>
      </c>
    </row>
    <row r="32" ht="32" customHeight="1">
      <c r="A32" s="2" t="str">
        <v>野菜5kg箱</v>
      </c>
      <c r="B32" s="46" t="n">
        <f>IF(OR($A$6&lt;&gt;"共通フィルター：KPI・3グラフ・ヒートマップが連動",1&lt;$H$5,1&gt;$K$5,AND($B$5&lt;&gt;"全業種",$B$5&lt;&gt;"農家")),"",SUMIFS('売上データ'!$F$5:$F$580,'売上データ'!$C$5:$C$580,$A32,'売上データ'!$A$5:$A$580,"&gt;="&amp;DATE($E$5,1,1),'売上データ'!$A$5:$A$580,"&lt;"&amp;DATE($E$5,2,1)))</f>
        <v>180000</v>
      </c>
      <c r="C32" s="46" t="n">
        <f>IF(OR($A$6&lt;&gt;"共通フィルター：KPI・3グラフ・ヒートマップが連動",2&lt;$H$5,2&gt;$K$5,AND($B$5&lt;&gt;"全業種",$B$5&lt;&gt;"農家")),"",SUMIFS('売上データ'!$F$5:$F$580,'売上データ'!$C$5:$C$580,$A32,'売上データ'!$A$5:$A$580,"&gt;="&amp;DATE($E$5,2,1),'売上データ'!$A$5:$A$580,"&lt;"&amp;DATE($E$5,3,1)))</f>
        <v>154000</v>
      </c>
      <c r="D32" s="46" t="n">
        <f>IF(OR($A$6&lt;&gt;"共通フィルター：KPI・3グラフ・ヒートマップが連動",3&lt;$H$5,3&gt;$K$5,AND($B$5&lt;&gt;"全業種",$B$5&lt;&gt;"農家")),"",SUMIFS('売上データ'!$F$5:$F$580,'売上データ'!$C$5:$C$580,$A32,'売上データ'!$A$5:$A$580,"&gt;="&amp;DATE($E$5,3,1),'売上データ'!$A$5:$A$580,"&lt;"&amp;DATE($E$5,4,1)))</f>
        <v>162000</v>
      </c>
      <c r="E32" s="46" t="n">
        <f>IF(OR($A$6&lt;&gt;"共通フィルター：KPI・3グラフ・ヒートマップが連動",4&lt;$H$5,4&gt;$K$5,AND($B$5&lt;&gt;"全業種",$B$5&lt;&gt;"農家")),"",SUMIFS('売上データ'!$F$5:$F$580,'売上データ'!$C$5:$C$580,$A32,'売上データ'!$A$5:$A$580,"&gt;="&amp;DATE($E$5,4,1),'売上データ'!$A$5:$A$580,"&lt;"&amp;DATE($E$5,5,1)))</f>
        <v>170000</v>
      </c>
      <c r="F32" s="46" t="n">
        <f>IF(OR($A$6&lt;&gt;"共通フィルター：KPI・3グラフ・ヒートマップが連動",5&lt;$H$5,5&gt;$K$5,AND($B$5&lt;&gt;"全業種",$B$5&lt;&gt;"農家")),"",SUMIFS('売上データ'!$F$5:$F$580,'売上データ'!$C$5:$C$580,$A32,'売上データ'!$A$5:$A$580,"&gt;="&amp;DATE($E$5,5,1),'売上データ'!$A$5:$A$580,"&lt;"&amp;DATE($E$5,6,1)))</f>
        <v>178000</v>
      </c>
      <c r="G32" s="46" t="n">
        <f>IF(OR($A$6&lt;&gt;"共通フィルター：KPI・3グラフ・ヒートマップが連動",6&lt;$H$5,6&gt;$K$5,AND($B$5&lt;&gt;"全業種",$B$5&lt;&gt;"農家")),"",SUMIFS('売上データ'!$F$5:$F$580,'売上データ'!$C$5:$C$580,$A32,'売上データ'!$A$5:$A$580,"&gt;="&amp;DATE($E$5,6,1),'売上データ'!$A$5:$A$580,"&lt;"&amp;DATE($E$5,7,1)))</f>
        <v>186000</v>
      </c>
      <c r="H32" s="46" t="n">
        <f>IF(OR($A$6&lt;&gt;"共通フィルター：KPI・3グラフ・ヒートマップが連動",7&lt;$H$5,7&gt;$K$5,AND($B$5&lt;&gt;"全業種",$B$5&lt;&gt;"農家")),"",SUMIFS('売上データ'!$F$5:$F$580,'売上データ'!$C$5:$C$580,$A32,'売上データ'!$A$5:$A$580,"&gt;="&amp;DATE($E$5,7,1),'売上データ'!$A$5:$A$580,"&lt;"&amp;DATE($E$5,8,1)))</f>
        <v>160000</v>
      </c>
      <c r="I32" s="46" t="n">
        <f>IF(OR($A$6&lt;&gt;"共通フィルター：KPI・3グラフ・ヒートマップが連動",8&lt;$H$5,8&gt;$K$5,AND($B$5&lt;&gt;"全業種",$B$5&lt;&gt;"農家")),"",SUMIFS('売上データ'!$F$5:$F$580,'売上データ'!$C$5:$C$580,$A32,'売上データ'!$A$5:$A$580,"&gt;="&amp;DATE($E$5,8,1),'売上データ'!$A$5:$A$580,"&lt;"&amp;DATE($E$5,9,1)))</f>
        <v>168000</v>
      </c>
      <c r="J32" s="46" t="n">
        <f>IF(OR($A$6&lt;&gt;"共通フィルター：KPI・3グラフ・ヒートマップが連動",9&lt;$H$5,9&gt;$K$5,AND($B$5&lt;&gt;"全業種",$B$5&lt;&gt;"農家")),"",SUMIFS('売上データ'!$F$5:$F$580,'売上データ'!$C$5:$C$580,$A32,'売上データ'!$A$5:$A$580,"&gt;="&amp;DATE($E$5,9,1),'売上データ'!$A$5:$A$580,"&lt;"&amp;DATE($E$5,10,1)))</f>
        <v>176000</v>
      </c>
      <c r="K32" s="46" t="n">
        <f>IF(OR($A$6&lt;&gt;"共通フィルター：KPI・3グラフ・ヒートマップが連動",10&lt;$H$5,10&gt;$K$5,AND($B$5&lt;&gt;"全業種",$B$5&lt;&gt;"農家")),"",SUMIFS('売上データ'!$F$5:$F$580,'売上データ'!$C$5:$C$580,$A32,'売上データ'!$A$5:$A$580,"&gt;="&amp;DATE($E$5,10,1),'売上データ'!$A$5:$A$580,"&lt;"&amp;DATE($E$5,11,1)))</f>
        <v>150000</v>
      </c>
      <c r="L32" s="46" t="n">
        <f>IF(OR($A$6&lt;&gt;"共通フィルター：KPI・3グラフ・ヒートマップが連動",11&lt;$H$5,11&gt;$K$5,AND($B$5&lt;&gt;"全業種",$B$5&lt;&gt;"農家")),"",SUMIFS('売上データ'!$F$5:$F$580,'売上データ'!$C$5:$C$580,$A32,'売上データ'!$A$5:$A$580,"&gt;="&amp;DATE($E$5,11,1),'売上データ'!$A$5:$A$580,"&lt;"&amp;DATE($E$5,12,1)))</f>
        <v>158000</v>
      </c>
      <c r="M32" s="46" t="n">
        <f>IF(OR($A$6&lt;&gt;"共通フィルター：KPI・3グラフ・ヒートマップが連動",12&lt;$H$5,12&gt;$K$5,AND($B$5&lt;&gt;"全業種",$B$5&lt;&gt;"農家")),"",SUMIFS('売上データ'!$F$5:$F$580,'売上データ'!$C$5:$C$580,$A32,'売上データ'!$A$5:$A$580,"&gt;="&amp;DATE($E$5,12,1),'売上データ'!$A$5:$A$580,"&lt;"&amp;DATE($E$5,13,1)))</f>
        <v>166000</v>
      </c>
    </row>
    <row r="33" ht="32" customHeight="1">
      <c r="A33" s="2" t="str">
        <v>トマト箱</v>
      </c>
      <c r="B33" s="46" t="n">
        <f>IF(OR($A$6&lt;&gt;"共通フィルター：KPI・3グラフ・ヒートマップが連動",1&lt;$H$5,1&gt;$K$5,AND($B$5&lt;&gt;"全業種",$B$5&lt;&gt;"農家")),"",SUMIFS('売上データ'!$F$5:$F$580,'売上データ'!$C$5:$C$580,$A33,'売上データ'!$A$5:$A$580,"&gt;="&amp;DATE($E$5,1,1),'売上データ'!$A$5:$A$580,"&lt;"&amp;DATE($E$5,2,1)))</f>
        <v>147600</v>
      </c>
      <c r="C33" s="46" t="n">
        <f>IF(OR($A$6&lt;&gt;"共通フィルター：KPI・3グラフ・ヒートマップが連動",2&lt;$H$5,2&gt;$K$5,AND($B$5&lt;&gt;"全業種",$B$5&lt;&gt;"農家")),"",SUMIFS('売上データ'!$F$5:$F$580,'売上データ'!$C$5:$C$580,$A33,'売上データ'!$A$5:$A$580,"&gt;="&amp;DATE($E$5,2,1),'売上データ'!$A$5:$A$580,"&lt;"&amp;DATE($E$5,3,1)))</f>
        <v>154800</v>
      </c>
      <c r="D33" s="46" t="n">
        <f>IF(OR($A$6&lt;&gt;"共通フィルター：KPI・3グラフ・ヒートマップが連動",3&lt;$H$5,3&gt;$K$5,AND($B$5&lt;&gt;"全業種",$B$5&lt;&gt;"農家")),"",SUMIFS('売上データ'!$F$5:$F$580,'売上データ'!$C$5:$C$580,$A33,'売上データ'!$A$5:$A$580,"&gt;="&amp;DATE($E$5,3,1),'売上データ'!$A$5:$A$580,"&lt;"&amp;DATE($E$5,4,1)))</f>
        <v>162000</v>
      </c>
      <c r="E33" s="46" t="n">
        <f>IF(OR($A$6&lt;&gt;"共通フィルター：KPI・3グラフ・ヒートマップが連動",4&lt;$H$5,4&gt;$K$5,AND($B$5&lt;&gt;"全業種",$B$5&lt;&gt;"農家")),"",SUMIFS('売上データ'!$F$5:$F$580,'売上データ'!$C$5:$C$580,$A33,'売上データ'!$A$5:$A$580,"&gt;="&amp;DATE($E$5,4,1),'売上データ'!$A$5:$A$580,"&lt;"&amp;DATE($E$5,5,1)))</f>
        <v>138600</v>
      </c>
      <c r="F33" s="46" t="n">
        <f>IF(OR($A$6&lt;&gt;"共通フィルター：KPI・3グラフ・ヒートマップが連動",5&lt;$H$5,5&gt;$K$5,AND($B$5&lt;&gt;"全業種",$B$5&lt;&gt;"農家")),"",SUMIFS('売上データ'!$F$5:$F$580,'売上データ'!$C$5:$C$580,$A33,'売上データ'!$A$5:$A$580,"&gt;="&amp;DATE($E$5,5,1),'売上データ'!$A$5:$A$580,"&lt;"&amp;DATE($E$5,6,1)))</f>
        <v>145800</v>
      </c>
      <c r="G33" s="46" t="n">
        <f>IF(OR($A$6&lt;&gt;"共通フィルター：KPI・3グラフ・ヒートマップが連動",6&lt;$H$5,6&gt;$K$5,AND($B$5&lt;&gt;"全業種",$B$5&lt;&gt;"農家")),"",SUMIFS('売上データ'!$F$5:$F$580,'売上データ'!$C$5:$C$580,$A33,'売上データ'!$A$5:$A$580,"&gt;="&amp;DATE($E$5,6,1),'売上データ'!$A$5:$A$580,"&lt;"&amp;DATE($E$5,7,1)))</f>
        <v>153000</v>
      </c>
      <c r="H33" s="46" t="n">
        <f>IF(OR($A$6&lt;&gt;"共通フィルター：KPI・3グラフ・ヒートマップが連動",7&lt;$H$5,7&gt;$K$5,AND($B$5&lt;&gt;"全業種",$B$5&lt;&gt;"農家")),"",SUMIFS('売上データ'!$F$5:$F$580,'売上データ'!$C$5:$C$580,$A33,'売上データ'!$A$5:$A$580,"&gt;="&amp;DATE($E$5,7,1),'売上データ'!$A$5:$A$580,"&lt;"&amp;DATE($E$5,8,1)))</f>
        <v>160200</v>
      </c>
      <c r="I33" s="46" t="n">
        <f>IF(OR($A$6&lt;&gt;"共通フィルター：KPI・3グラフ・ヒートマップが連動",8&lt;$H$5,8&gt;$K$5,AND($B$5&lt;&gt;"全業種",$B$5&lt;&gt;"農家")),"",SUMIFS('売上データ'!$F$5:$F$580,'売上データ'!$C$5:$C$580,$A33,'売上データ'!$A$5:$A$580,"&gt;="&amp;DATE($E$5,8,1),'売上データ'!$A$5:$A$580,"&lt;"&amp;DATE($E$5,9,1)))</f>
        <v>167400</v>
      </c>
      <c r="J33" s="46" t="n">
        <f>IF(OR($A$6&lt;&gt;"共通フィルター：KPI・3グラフ・ヒートマップが連動",9&lt;$H$5,9&gt;$K$5,AND($B$5&lt;&gt;"全業種",$B$5&lt;&gt;"農家")),"",SUMIFS('売上データ'!$F$5:$F$580,'売上データ'!$C$5:$C$580,$A33,'売上データ'!$A$5:$A$580,"&gt;="&amp;DATE($E$5,9,1),'売上データ'!$A$5:$A$580,"&lt;"&amp;DATE($E$5,10,1)))</f>
        <v>144000</v>
      </c>
      <c r="K33" s="46" t="n">
        <f>IF(OR($A$6&lt;&gt;"共通フィルター：KPI・3グラフ・ヒートマップが連動",10&lt;$H$5,10&gt;$K$5,AND($B$5&lt;&gt;"全業種",$B$5&lt;&gt;"農家")),"",SUMIFS('売上データ'!$F$5:$F$580,'売上データ'!$C$5:$C$580,$A33,'売上データ'!$A$5:$A$580,"&gt;="&amp;DATE($E$5,10,1),'売上データ'!$A$5:$A$580,"&lt;"&amp;DATE($E$5,11,1)))</f>
        <v>151200</v>
      </c>
      <c r="L33" s="46" t="n">
        <f>IF(OR($A$6&lt;&gt;"共通フィルター：KPI・3グラフ・ヒートマップが連動",11&lt;$H$5,11&gt;$K$5,AND($B$5&lt;&gt;"全業種",$B$5&lt;&gt;"農家")),"",SUMIFS('売上データ'!$F$5:$F$580,'売上データ'!$C$5:$C$580,$A33,'売上データ'!$A$5:$A$580,"&gt;="&amp;DATE($E$5,11,1),'売上データ'!$A$5:$A$580,"&lt;"&amp;DATE($E$5,12,1)))</f>
        <v>158400</v>
      </c>
      <c r="M33" s="46" t="n">
        <f>IF(OR($A$6&lt;&gt;"共通フィルター：KPI・3グラフ・ヒートマップが連動",12&lt;$H$5,12&gt;$K$5,AND($B$5&lt;&gt;"全業種",$B$5&lt;&gt;"農家")),"",SUMIFS('売上データ'!$F$5:$F$580,'売上データ'!$C$5:$C$580,$A33,'売上データ'!$A$5:$A$580,"&gt;="&amp;DATE($E$5,12,1),'売上データ'!$A$5:$A$580,"&lt;"&amp;DATE($E$5,13,1)))</f>
        <v>135000</v>
      </c>
    </row>
    <row r="34" ht="32" customHeight="1">
      <c r="A34" s="2" t="str">
        <v>米5kg</v>
      </c>
      <c r="B34" s="46" t="n">
        <f>IF(OR($A$6&lt;&gt;"共通フィルター：KPI・3グラフ・ヒートマップが連動",1&lt;$H$5,1&gt;$K$5,AND($B$5&lt;&gt;"全業種",$B$5&lt;&gt;"農家")),"",SUMIFS('売上データ'!$F$5:$F$580,'売上データ'!$C$5:$C$580,$A34,'売上データ'!$A$5:$A$580,"&gt;="&amp;DATE($E$5,1,1),'売上データ'!$A$5:$A$580,"&lt;"&amp;DATE($E$5,2,1)))</f>
        <v>291200</v>
      </c>
      <c r="C34" s="46" t="n">
        <f>IF(OR($A$6&lt;&gt;"共通フィルター：KPI・3グラフ・ヒートマップが連動",2&lt;$H$5,2&gt;$K$5,AND($B$5&lt;&gt;"全業種",$B$5&lt;&gt;"農家")),"",SUMIFS('売上データ'!$F$5:$F$580,'売上データ'!$C$5:$C$580,$A34,'売上データ'!$A$5:$A$580,"&gt;="&amp;DATE($E$5,2,1),'売上データ'!$A$5:$A$580,"&lt;"&amp;DATE($E$5,3,1)))</f>
        <v>249600</v>
      </c>
      <c r="D34" s="46" t="n">
        <f>IF(OR($A$6&lt;&gt;"共通フィルター：KPI・3グラフ・ヒートマップが連動",3&lt;$H$5,3&gt;$K$5,AND($B$5&lt;&gt;"全業種",$B$5&lt;&gt;"農家")),"",SUMIFS('売上データ'!$F$5:$F$580,'売上データ'!$C$5:$C$580,$A34,'売上データ'!$A$5:$A$580,"&gt;="&amp;DATE($E$5,3,1),'売上データ'!$A$5:$A$580,"&lt;"&amp;DATE($E$5,4,1)))</f>
        <v>262400</v>
      </c>
      <c r="E34" s="46" t="n">
        <f>IF(OR($A$6&lt;&gt;"共通フィルター：KPI・3グラフ・ヒートマップが連動",4&lt;$H$5,4&gt;$K$5,AND($B$5&lt;&gt;"全業種",$B$5&lt;&gt;"農家")),"",SUMIFS('売上データ'!$F$5:$F$580,'売上データ'!$C$5:$C$580,$A34,'売上データ'!$A$5:$A$580,"&gt;="&amp;DATE($E$5,4,1),'売上データ'!$A$5:$A$580,"&lt;"&amp;DATE($E$5,5,1)))</f>
        <v>275200</v>
      </c>
      <c r="F34" s="46" t="n">
        <f>IF(OR($A$6&lt;&gt;"共通フィルター：KPI・3グラフ・ヒートマップが連動",5&lt;$H$5,5&gt;$K$5,AND($B$5&lt;&gt;"全業種",$B$5&lt;&gt;"農家")),"",SUMIFS('売上データ'!$F$5:$F$580,'売上データ'!$C$5:$C$580,$A34,'売上データ'!$A$5:$A$580,"&gt;="&amp;DATE($E$5,5,1),'売上データ'!$A$5:$A$580,"&lt;"&amp;DATE($E$5,6,1)))</f>
        <v>288000</v>
      </c>
      <c r="G34" s="46" t="n">
        <f>IF(OR($A$6&lt;&gt;"共通フィルター：KPI・3グラフ・ヒートマップが連動",6&lt;$H$5,6&gt;$K$5,AND($B$5&lt;&gt;"全業種",$B$5&lt;&gt;"農家")),"",SUMIFS('売上データ'!$F$5:$F$580,'売上データ'!$C$5:$C$580,$A34,'売上データ'!$A$5:$A$580,"&gt;="&amp;DATE($E$5,6,1),'売上データ'!$A$5:$A$580,"&lt;"&amp;DATE($E$5,7,1)))</f>
        <v>246400</v>
      </c>
      <c r="H34" s="46" t="n">
        <f>IF(OR($A$6&lt;&gt;"共通フィルター：KPI・3グラフ・ヒートマップが連動",7&lt;$H$5,7&gt;$K$5,AND($B$5&lt;&gt;"全業種",$B$5&lt;&gt;"農家")),"",SUMIFS('売上データ'!$F$5:$F$580,'売上データ'!$C$5:$C$580,$A34,'売上データ'!$A$5:$A$580,"&gt;="&amp;DATE($E$5,7,1),'売上データ'!$A$5:$A$580,"&lt;"&amp;DATE($E$5,8,1)))</f>
        <v>259200</v>
      </c>
      <c r="I34" s="46" t="n">
        <f>IF(OR($A$6&lt;&gt;"共通フィルター：KPI・3グラフ・ヒートマップが連動",8&lt;$H$5,8&gt;$K$5,AND($B$5&lt;&gt;"全業種",$B$5&lt;&gt;"農家")),"",SUMIFS('売上データ'!$F$5:$F$580,'売上データ'!$C$5:$C$580,$A34,'売上データ'!$A$5:$A$580,"&gt;="&amp;DATE($E$5,8,1),'売上データ'!$A$5:$A$580,"&lt;"&amp;DATE($E$5,9,1)))</f>
        <v>272000</v>
      </c>
      <c r="J34" s="46" t="n">
        <f>IF(OR($A$6&lt;&gt;"共通フィルター：KPI・3グラフ・ヒートマップが連動",9&lt;$H$5,9&gt;$K$5,AND($B$5&lt;&gt;"全業種",$B$5&lt;&gt;"農家")),"",SUMIFS('売上データ'!$F$5:$F$580,'売上データ'!$C$5:$C$580,$A34,'売上データ'!$A$5:$A$580,"&gt;="&amp;DATE($E$5,9,1),'売上データ'!$A$5:$A$580,"&lt;"&amp;DATE($E$5,10,1)))</f>
        <v>284800</v>
      </c>
      <c r="K34" s="46" t="n">
        <f>IF(OR($A$6&lt;&gt;"共通フィルター：KPI・3グラフ・ヒートマップが連動",10&lt;$H$5,10&gt;$K$5,AND($B$5&lt;&gt;"全業種",$B$5&lt;&gt;"農家")),"",SUMIFS('売上データ'!$F$5:$F$580,'売上データ'!$C$5:$C$580,$A34,'売上データ'!$A$5:$A$580,"&gt;="&amp;DATE($E$5,10,1),'売上データ'!$A$5:$A$580,"&lt;"&amp;DATE($E$5,11,1)))</f>
        <v>297600</v>
      </c>
      <c r="L34" s="46" t="n">
        <f>IF(OR($A$6&lt;&gt;"共通フィルター：KPI・3グラフ・ヒートマップが連動",11&lt;$H$5,11&gt;$K$5,AND($B$5&lt;&gt;"全業種",$B$5&lt;&gt;"農家")),"",SUMIFS('売上データ'!$F$5:$F$580,'売上データ'!$C$5:$C$580,$A34,'売上データ'!$A$5:$A$580,"&gt;="&amp;DATE($E$5,11,1),'売上データ'!$A$5:$A$580,"&lt;"&amp;DATE($E$5,12,1)))</f>
        <v>256000</v>
      </c>
      <c r="M34" s="46" t="n">
        <f>IF(OR($A$6&lt;&gt;"共通フィルター：KPI・3グラフ・ヒートマップが連動",12&lt;$H$5,12&gt;$K$5,AND($B$5&lt;&gt;"全業種",$B$5&lt;&gt;"農家")),"",SUMIFS('売上データ'!$F$5:$F$580,'売上データ'!$C$5:$C$580,$A34,'売上データ'!$A$5:$A$580,"&gt;="&amp;DATE($E$5,12,1),'売上データ'!$A$5:$A$580,"&lt;"&amp;DATE($E$5,13,1)))</f>
        <v>268800</v>
      </c>
    </row>
    <row r="35" ht="32" customHeight="1">
      <c r="A35" s="2" t="str">
        <v>季節の果物</v>
      </c>
      <c r="B35" s="46" t="n">
        <f>IF(OR($A$6&lt;&gt;"共通フィルター：KPI・3グラフ・ヒートマップが連動",1&lt;$H$5,1&gt;$K$5,AND($B$5&lt;&gt;"全業種",$B$5&lt;&gt;"農家")),"",SUMIFS('売上データ'!$F$5:$F$580,'売上データ'!$C$5:$C$580,$A35,'売上データ'!$A$5:$A$580,"&gt;="&amp;DATE($E$5,1,1),'売上データ'!$A$5:$A$580,"&lt;"&amp;DATE($E$5,2,1)))</f>
        <v>332000</v>
      </c>
      <c r="C35" s="46" t="n">
        <f>IF(OR($A$6&lt;&gt;"共通フィルター：KPI・3グラフ・ヒートマップが連動",2&lt;$H$5,2&gt;$K$5,AND($B$5&lt;&gt;"全業種",$B$5&lt;&gt;"農家")),"",SUMIFS('売上データ'!$F$5:$F$580,'売上データ'!$C$5:$C$580,$A35,'売上データ'!$A$5:$A$580,"&gt;="&amp;DATE($E$5,2,1),'売上データ'!$A$5:$A$580,"&lt;"&amp;DATE($E$5,3,1)))</f>
        <v>348000</v>
      </c>
      <c r="D35" s="46" t="n">
        <f>IF(OR($A$6&lt;&gt;"共通フィルター：KPI・3グラフ・ヒートマップが連動",3&lt;$H$5,3&gt;$K$5,AND($B$5&lt;&gt;"全業種",$B$5&lt;&gt;"農家")),"",SUMIFS('売上データ'!$F$5:$F$580,'売上データ'!$C$5:$C$580,$A35,'売上データ'!$A$5:$A$580,"&gt;="&amp;DATE($E$5,3,1),'売上データ'!$A$5:$A$580,"&lt;"&amp;DATE($E$5,4,1)))</f>
        <v>364000</v>
      </c>
      <c r="E35" s="46" t="n">
        <f>IF(OR($A$6&lt;&gt;"共通フィルター：KPI・3グラフ・ヒートマップが連動",4&lt;$H$5,4&gt;$K$5,AND($B$5&lt;&gt;"全業種",$B$5&lt;&gt;"農家")),"",SUMIFS('売上データ'!$F$5:$F$580,'売上データ'!$C$5:$C$580,$A35,'売上データ'!$A$5:$A$580,"&gt;="&amp;DATE($E$5,4,1),'売上データ'!$A$5:$A$580,"&lt;"&amp;DATE($E$5,5,1)))</f>
        <v>312000</v>
      </c>
      <c r="F35" s="46" t="n">
        <f>IF(OR($A$6&lt;&gt;"共通フィルター：KPI・3グラフ・ヒートマップが連動",5&lt;$H$5,5&gt;$K$5,AND($B$5&lt;&gt;"全業種",$B$5&lt;&gt;"農家")),"",SUMIFS('売上データ'!$F$5:$F$580,'売上データ'!$C$5:$C$580,$A35,'売上データ'!$A$5:$A$580,"&gt;="&amp;DATE($E$5,5,1),'売上データ'!$A$5:$A$580,"&lt;"&amp;DATE($E$5,6,1)))</f>
        <v>328000</v>
      </c>
      <c r="G35" s="46" t="n">
        <f>IF(OR($A$6&lt;&gt;"共通フィルター：KPI・3グラフ・ヒートマップが連動",6&lt;$H$5,6&gt;$K$5,AND($B$5&lt;&gt;"全業種",$B$5&lt;&gt;"農家")),"",SUMIFS('売上データ'!$F$5:$F$580,'売上データ'!$C$5:$C$580,$A35,'売上データ'!$A$5:$A$580,"&gt;="&amp;DATE($E$5,6,1),'売上データ'!$A$5:$A$580,"&lt;"&amp;DATE($E$5,7,1)))</f>
        <v>344000</v>
      </c>
      <c r="H35" s="46" t="n">
        <f>IF(OR($A$6&lt;&gt;"共通フィルター：KPI・3グラフ・ヒートマップが連動",7&lt;$H$5,7&gt;$K$5,AND($B$5&lt;&gt;"全業種",$B$5&lt;&gt;"農家")),"",SUMIFS('売上データ'!$F$5:$F$580,'売上データ'!$C$5:$C$580,$A35,'売上データ'!$A$5:$A$580,"&gt;="&amp;DATE($E$5,7,1),'売上データ'!$A$5:$A$580,"&lt;"&amp;DATE($E$5,8,1)))</f>
        <v>360000</v>
      </c>
      <c r="I35" s="46" t="n">
        <f>IF(OR($A$6&lt;&gt;"共通フィルター：KPI・3グラフ・ヒートマップが連動",8&lt;$H$5,8&gt;$K$5,AND($B$5&lt;&gt;"全業種",$B$5&lt;&gt;"農家")),"",SUMIFS('売上データ'!$F$5:$F$580,'売上データ'!$C$5:$C$580,$A35,'売上データ'!$A$5:$A$580,"&gt;="&amp;DATE($E$5,8,1),'売上データ'!$A$5:$A$580,"&lt;"&amp;DATE($E$5,9,1)))</f>
        <v>308000</v>
      </c>
      <c r="J35" s="46" t="n">
        <f>IF(OR($A$6&lt;&gt;"共通フィルター：KPI・3グラフ・ヒートマップが連動",9&lt;$H$5,9&gt;$K$5,AND($B$5&lt;&gt;"全業種",$B$5&lt;&gt;"農家")),"",SUMIFS('売上データ'!$F$5:$F$580,'売上データ'!$C$5:$C$580,$A35,'売上データ'!$A$5:$A$580,"&gt;="&amp;DATE($E$5,9,1),'売上データ'!$A$5:$A$580,"&lt;"&amp;DATE($E$5,10,1)))</f>
        <v>324000</v>
      </c>
      <c r="K35" s="46" t="n">
        <f>IF(OR($A$6&lt;&gt;"共通フィルター：KPI・3グラフ・ヒートマップが連動",10&lt;$H$5,10&gt;$K$5,AND($B$5&lt;&gt;"全業種",$B$5&lt;&gt;"農家")),"",SUMIFS('売上データ'!$F$5:$F$580,'売上データ'!$C$5:$C$580,$A35,'売上データ'!$A$5:$A$580,"&gt;="&amp;DATE($E$5,10,1),'売上データ'!$A$5:$A$580,"&lt;"&amp;DATE($E$5,11,1)))</f>
        <v>340000</v>
      </c>
      <c r="L35" s="46" t="n">
        <f>IF(OR($A$6&lt;&gt;"共通フィルター：KPI・3グラフ・ヒートマップが連動",11&lt;$H$5,11&gt;$K$5,AND($B$5&lt;&gt;"全業種",$B$5&lt;&gt;"農家")),"",SUMIFS('売上データ'!$F$5:$F$580,'売上データ'!$C$5:$C$580,$A35,'売上データ'!$A$5:$A$580,"&gt;="&amp;DATE($E$5,11,1),'売上データ'!$A$5:$A$580,"&lt;"&amp;DATE($E$5,12,1)))</f>
        <v>356000</v>
      </c>
      <c r="M35" s="46" t="n">
        <f>IF(OR($A$6&lt;&gt;"共通フィルター：KPI・3グラフ・ヒートマップが連動",12&lt;$H$5,12&gt;$K$5,AND($B$5&lt;&gt;"全業種",$B$5&lt;&gt;"農家")),"",SUMIFS('売上データ'!$F$5:$F$580,'売上データ'!$C$5:$C$580,$A35,'売上データ'!$A$5:$A$580,"&gt;="&amp;DATE($E$5,12,1),'売上データ'!$A$5:$A$580,"&lt;"&amp;DATE($E$5,13,1)))</f>
        <v>372000</v>
      </c>
    </row>
    <row r="36" ht="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25" customHeight="1">
      <c r="A37" s="2" t="str">
        <v>ヒートマップ単位：千円（表示丸め）。濃い色ほど売上が大きく、空欄は選択範囲外です。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25" customHeight="1">
      <c r="A38" s="2" t="str">
        <v>開始月・終了月は1〜12。対象年は2025／2026。データは売上データシートで確認できます。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30" customHeight="1">
      <c r="A42" s="6" t="str">
        <v>月</v>
      </c>
      <c r="B42" s="6" t="str">
        <v>売上（円）</v>
      </c>
      <c r="C42" s="6" t="str">
        <v>原価控除後差額（円）</v>
      </c>
      <c r="D42" s="2"/>
      <c r="E42" s="6" t="str">
        <v>商品</v>
      </c>
      <c r="F42" s="6" t="str">
        <v>売上（円）</v>
      </c>
      <c r="G42" s="2"/>
      <c r="H42" s="6" t="str">
        <v>業種</v>
      </c>
      <c r="I42" s="6" t="str">
        <v>売上（円）</v>
      </c>
      <c r="J42" s="2"/>
      <c r="K42" s="2"/>
      <c r="L42" s="2"/>
      <c r="M42" s="2"/>
    </row>
    <row r="43" ht="25" customHeight="1">
      <c r="A43" s="2" t="str">
        <v>1月</v>
      </c>
      <c r="B43" s="14" t="n">
        <f>SUM(B28:B35)</f>
        <v>4333300</v>
      </c>
      <c r="C43" s="14" t="n">
        <f>IF(OR($A$6&lt;&gt;"共通フィルター：KPI・3グラフ・ヒートマップが連動",1&lt;$H$5,1&gt;$K$5),0,SUMIFS('売上データ'!$H$5:$H$580,'売上データ'!$A$5:$A$580,"&gt;="&amp;DATE($E$5,1,1),'売上データ'!$A$5:$A$580,"&lt;"&amp;DATE($E$5,2,1),'売上データ'!$B$5:$B$580,IF($B$5="全業種","*",$B$5)))</f>
        <v>1764256</v>
      </c>
      <c r="D43" s="2"/>
      <c r="E43" s="2" t="str">
        <v>テーブル</v>
      </c>
      <c r="F43" s="14" t="n">
        <f>SUM(B28:M28)</f>
        <v>17450000</v>
      </c>
      <c r="G43" s="2"/>
      <c r="H43" s="2" t="str">
        <v>木工所</v>
      </c>
      <c r="I43" s="2" t="n">
        <f>SUM(F43:F46)</f>
        <v>36327500</v>
      </c>
      <c r="J43" s="2"/>
      <c r="K43" s="2"/>
      <c r="L43" s="2"/>
      <c r="M43" s="2"/>
    </row>
    <row r="44" ht="25" customHeight="1">
      <c r="A44" s="2" t="str">
        <v>2月</v>
      </c>
      <c r="B44" s="14" t="n">
        <f>SUM(C28:C35)</f>
        <v>3848900</v>
      </c>
      <c r="C44" s="14" t="n">
        <f>IF(OR($A$6&lt;&gt;"共通フィルター：KPI・3グラフ・ヒートマップが連動",2&lt;$H$5,2&gt;$K$5),0,SUMIFS('売上データ'!$H$5:$H$580,'売上データ'!$A$5:$A$580,"&gt;="&amp;DATE($E$5,2,1),'売上データ'!$A$5:$A$580,"&lt;"&amp;DATE($E$5,3,1),'売上データ'!$B$5:$B$580,IF($B$5="全業種","*",$B$5)))</f>
        <v>1310564</v>
      </c>
      <c r="D44" s="2"/>
      <c r="E44" s="2" t="str">
        <v>椅子</v>
      </c>
      <c r="F44" s="14" t="n">
        <f>SUM(B29:M29)</f>
        <v>5325000</v>
      </c>
      <c r="G44" s="2"/>
      <c r="H44" s="2" t="str">
        <v>農家</v>
      </c>
      <c r="I44" s="2" t="n">
        <f>SUM(F47:F50)</f>
        <v>11165200</v>
      </c>
      <c r="J44" s="2"/>
      <c r="K44" s="2"/>
      <c r="L44" s="2"/>
      <c r="M44" s="2"/>
    </row>
    <row r="45" ht="25" customHeight="1">
      <c r="A45" s="2" t="str">
        <v>3月</v>
      </c>
      <c r="B45" s="14" t="n">
        <f>SUM(D28:D35)</f>
        <v>3707900</v>
      </c>
      <c r="C45" s="14" t="n">
        <f>IF(OR($A$6&lt;&gt;"共通フィルター：KPI・3グラフ・ヒートマップが連動",3&lt;$H$5,3&gt;$K$5),0,SUMIFS('売上データ'!$H$5:$H$580,'売上データ'!$A$5:$A$580,"&gt;="&amp;DATE($E$5,3,1),'売上データ'!$A$5:$A$580,"&lt;"&amp;DATE($E$5,4,1),'売上データ'!$B$5:$B$580,IF($B$5="全業種","*",$B$5)))</f>
        <v>1463882</v>
      </c>
      <c r="D45" s="2"/>
      <c r="E45" s="2" t="str">
        <v>収納棚</v>
      </c>
      <c r="F45" s="14" t="n">
        <f>SUM(B30:M30)</f>
        <v>12635000</v>
      </c>
      <c r="G45" s="2"/>
      <c r="H45" s="2"/>
      <c r="I45" s="2"/>
      <c r="J45" s="2"/>
      <c r="K45" s="2"/>
      <c r="L45" s="2"/>
      <c r="M45" s="2"/>
    </row>
    <row r="46" ht="25" customHeight="1">
      <c r="A46" s="2" t="str">
        <v>4月</v>
      </c>
      <c r="B46" s="14" t="n">
        <f>SUM(E28:E35)</f>
        <v>3808300</v>
      </c>
      <c r="C46" s="14" t="n">
        <f>IF(OR($A$6&lt;&gt;"共通フィルター：KPI・3グラフ・ヒートマップが連動",4&lt;$H$5,4&gt;$K$5),0,SUMIFS('売上データ'!$H$5:$H$580,'売上データ'!$A$5:$A$580,"&gt;="&amp;DATE($E$5,4,1),'売上データ'!$A$5:$A$580,"&lt;"&amp;DATE($E$5,5,1),'売上データ'!$B$5:$B$580,IF($B$5="全業種","*",$B$5)))</f>
        <v>1475032</v>
      </c>
      <c r="D46" s="2"/>
      <c r="E46" s="2" t="str">
        <v>木製小物</v>
      </c>
      <c r="F46" s="14" t="n">
        <f>SUM(B31:M31)</f>
        <v>917500</v>
      </c>
      <c r="G46" s="2"/>
      <c r="H46" s="2"/>
      <c r="I46" s="2"/>
      <c r="J46" s="2"/>
      <c r="K46" s="2"/>
      <c r="L46" s="2"/>
      <c r="M46" s="2"/>
    </row>
    <row r="47" ht="25" customHeight="1">
      <c r="A47" s="2" t="str">
        <v>5月</v>
      </c>
      <c r="B47" s="14" t="n">
        <f>SUM(F28:F35)</f>
        <v>4219800</v>
      </c>
      <c r="C47" s="14" t="n">
        <f>IF(OR($A$6&lt;&gt;"共通フィルター：KPI・3グラフ・ヒートマップが連動",5&lt;$H$5,5&gt;$K$5),0,SUMIFS('売上データ'!$H$5:$H$580,'売上データ'!$A$5:$A$580,"&gt;="&amp;DATE($E$5,5,1),'売上データ'!$A$5:$A$580,"&lt;"&amp;DATE($E$5,6,1),'売上データ'!$B$5:$B$580,IF($B$5="全業種","*",$B$5)))</f>
        <v>1917936</v>
      </c>
      <c r="D47" s="2"/>
      <c r="E47" s="2" t="str">
        <v>野菜5kg箱</v>
      </c>
      <c r="F47" s="14" t="n">
        <f>SUM(B32:M32)</f>
        <v>2008000</v>
      </c>
      <c r="G47" s="2"/>
      <c r="H47" s="2"/>
      <c r="I47" s="2"/>
      <c r="J47" s="2"/>
      <c r="K47" s="2"/>
      <c r="L47" s="2"/>
      <c r="M47" s="2"/>
    </row>
    <row r="48" ht="25" customHeight="1">
      <c r="A48" s="2" t="str">
        <v>6月</v>
      </c>
      <c r="B48" s="14" t="n">
        <f>SUM(G28:G35)</f>
        <v>4024400</v>
      </c>
      <c r="C48" s="14" t="n">
        <f>IF(OR($A$6&lt;&gt;"共通フィルター：KPI・3グラフ・ヒートマップが連動",6&lt;$H$5,6&gt;$K$5),0,SUMIFS('売上データ'!$H$5:$H$580,'売上データ'!$A$5:$A$580,"&gt;="&amp;DATE($E$5,6,1),'売上データ'!$A$5:$A$580,"&lt;"&amp;DATE($E$5,7,1),'売上データ'!$B$5:$B$580,IF($B$5="全業種","*",$B$5)))</f>
        <v>1678520</v>
      </c>
      <c r="D48" s="2"/>
      <c r="E48" s="2" t="str">
        <v>トマト箱</v>
      </c>
      <c r="F48" s="14" t="n">
        <f>SUM(B33:M33)</f>
        <v>1818000</v>
      </c>
      <c r="G48" s="2"/>
      <c r="H48" s="2"/>
      <c r="I48" s="2"/>
      <c r="J48" s="2"/>
      <c r="K48" s="2"/>
      <c r="L48" s="2"/>
      <c r="M48" s="2"/>
    </row>
    <row r="49" ht="25" customHeight="1">
      <c r="A49" s="2" t="str">
        <v>7月</v>
      </c>
      <c r="B49" s="14" t="n">
        <f>SUM(H28:H35)</f>
        <v>3594400</v>
      </c>
      <c r="C49" s="14" t="n">
        <f>IF(OR($A$6&lt;&gt;"共通フィルター：KPI・3グラフ・ヒートマップが連動",7&lt;$H$5,7&gt;$K$5),0,SUMIFS('売上データ'!$H$5:$H$580,'売上データ'!$A$5:$A$580,"&gt;="&amp;DATE($E$5,7,1),'売上データ'!$A$5:$A$580,"&lt;"&amp;DATE($E$5,8,1),'売上データ'!$B$5:$B$580,IF($B$5="全業種","*",$B$5)))</f>
        <v>1264108</v>
      </c>
      <c r="D49" s="2"/>
      <c r="E49" s="2" t="str">
        <v>米5kg</v>
      </c>
      <c r="F49" s="14" t="n">
        <f>SUM(B34:M34)</f>
        <v>3251200</v>
      </c>
      <c r="G49" s="2"/>
      <c r="H49" s="2"/>
      <c r="I49" s="2"/>
      <c r="J49" s="2"/>
      <c r="K49" s="2"/>
      <c r="L49" s="2"/>
      <c r="M49" s="2"/>
    </row>
    <row r="50" ht="25" customHeight="1">
      <c r="A50" s="2" t="str">
        <v>8月</v>
      </c>
      <c r="B50" s="14" t="n">
        <f>SUM(I28:I35)</f>
        <v>3937900</v>
      </c>
      <c r="C50" s="14" t="n">
        <f>IF(OR($A$6&lt;&gt;"共通フィルター：KPI・3グラフ・ヒートマップが連動",8&lt;$H$5,8&gt;$K$5),0,SUMIFS('売上データ'!$H$5:$H$580,'売上データ'!$A$5:$A$580,"&gt;="&amp;DATE($E$5,8,1),'売上データ'!$A$5:$A$580,"&lt;"&amp;DATE($E$5,9,1),'売上データ'!$B$5:$B$580,IF($B$5="全業種","*",$B$5)))</f>
        <v>1543786</v>
      </c>
      <c r="D50" s="2"/>
      <c r="E50" s="2" t="str">
        <v>季節の果物</v>
      </c>
      <c r="F50" s="14" t="n">
        <f>SUM(B35:M35)</f>
        <v>4088000</v>
      </c>
      <c r="G50" s="2"/>
      <c r="H50" s="2"/>
      <c r="I50" s="2"/>
      <c r="J50" s="2"/>
      <c r="K50" s="2"/>
      <c r="L50" s="2"/>
      <c r="M50" s="2"/>
    </row>
    <row r="51" ht="25" customHeight="1">
      <c r="A51" s="2" t="str">
        <v>9月</v>
      </c>
      <c r="B51" s="14" t="n">
        <f>SUM(J28:J35)</f>
        <v>4106300</v>
      </c>
      <c r="C51" s="14" t="n">
        <f>IF(OR($A$6&lt;&gt;"共通フィルター：KPI・3グラフ・ヒートマップが連動",9&lt;$H$5,9&gt;$K$5),0,SUMIFS('売上データ'!$H$5:$H$580,'売上データ'!$A$5:$A$580,"&gt;="&amp;DATE($E$5,9,1),'売上データ'!$A$5:$A$580,"&lt;"&amp;DATE($E$5,10,1),'売上データ'!$B$5:$B$580,IF($B$5="全業種","*",$B$5)))</f>
        <v>1588796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25" customHeight="1">
      <c r="A52" s="2" t="str">
        <v>10月</v>
      </c>
      <c r="B52" s="14" t="n">
        <f>SUM(K28:K35)</f>
        <v>4526300</v>
      </c>
      <c r="C52" s="14" t="n">
        <f>IF(OR($A$6&lt;&gt;"共通フィルター：KPI・3グラフ・ヒートマップが連動",10&lt;$H$5,10&gt;$K$5),0,SUMIFS('売上データ'!$H$5:$H$580,'売上データ'!$A$5:$A$580,"&gt;="&amp;DATE($E$5,10,1),'売上データ'!$A$5:$A$580,"&lt;"&amp;DATE($E$5,11,1),'売上データ'!$B$5:$B$580,IF($B$5="全業種","*",$B$5)))</f>
        <v>2065370</v>
      </c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25" customHeight="1">
      <c r="A53" s="2" t="str">
        <v>11月</v>
      </c>
      <c r="B53" s="14" t="n">
        <f>SUM(L28:L35)</f>
        <v>3480900</v>
      </c>
      <c r="C53" s="14" t="n">
        <f>IF(OR($A$6&lt;&gt;"共通フィルター：KPI・3グラフ・ヒートマップが連動",11&lt;$H$5,11&gt;$K$5),0,SUMIFS('売上データ'!$H$5:$H$580,'売上データ'!$A$5:$A$580,"&gt;="&amp;DATE($E$5,11,1),'売上データ'!$A$5:$A$580,"&lt;"&amp;DATE($E$5,12,1),'売上データ'!$B$5:$B$580,IF($B$5="全業種","*",$B$5)))</f>
        <v>1408164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25" customHeight="1">
      <c r="A54" s="2" t="str">
        <v>12月</v>
      </c>
      <c r="B54" s="14" t="n">
        <f>SUM(M28:M35)</f>
        <v>3904300</v>
      </c>
      <c r="C54" s="14" t="n">
        <f>IF(OR($A$6&lt;&gt;"共通フィルター：KPI・3グラフ・ヒートマップが連動",12&lt;$H$5,12&gt;$K$5),0,SUMIFS('売上データ'!$H$5:$H$580,'売上データ'!$A$5:$A$580,"&gt;="&amp;DATE($E$5,12,1),'売上データ'!$A$5:$A$580,"&lt;"&amp;DATE($E$5,13,1),'売上データ'!$B$5:$B$580,IF($B$5="全業種","*",$B$5)))</f>
        <v>1372012</v>
      </c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</sheetData>
  <mergeCells>
    <mergeCell ref="A2:M2"/>
    <mergeCell ref="A3:M3"/>
    <mergeCell ref="A6:M6"/>
    <mergeCell ref="A37:M37"/>
    <mergeCell ref="A38:M38"/>
    <mergeCell ref="A8:D8"/>
    <mergeCell ref="A9:D10"/>
    <mergeCell ref="F8:I8"/>
    <mergeCell ref="F9:I10"/>
    <mergeCell ref="K8:M8"/>
    <mergeCell ref="K9:M10"/>
    <mergeCell ref="A11:M11"/>
  </mergeCells>
  <conditionalFormatting sqref="B28:M35">
    <cfRule type="colorScale" priority="1">
      <colorScale>
        <cfvo type="min"/>
        <cfvo type="percentile" val="50"/>
        <cfvo type="max"/>
        <color rgb="FFE3F2EE"/>
        <color rgb="FF70C8B9"/>
        <color rgb="FF077F74"/>
      </colorScale>
    </cfRule>
    <cfRule type="expression" dxfId="7" priority="2">
      <formula>AND(ISNUMBER(B28),B28&gt;MAX($B$28:$M$35)*0.55)</formula>
    </cfRule>
  </conditionalFormatting>
  <dataValidations count="4">
    <dataValidation type="list" sqref="B5" showErrorMessage="1" errorStyle="stop" errorTitle="入力値を確認" error="指定された範囲・選択肢で入力してください。">
      <formula1>"全業種,木工所,農家"</formula1>
    </dataValidation>
    <dataValidation type="decimal" operator="between" sqref="E5" showErrorMessage="1" errorStyle="stop" errorTitle="入力値を確認" error="指定された範囲・選択肢で入力してください。">
      <formula1>2025</formula1>
      <formula2>2026</formula2>
    </dataValidation>
    <dataValidation type="whole" operator="between" sqref="H5" showErrorMessage="1" errorStyle="stop" errorTitle="入力値を確認" error="指定された範囲・選択肢で入力してください。">
      <formula1>1</formula1>
      <formula2>12</formula2>
    </dataValidation>
    <dataValidation type="whole" operator="between" sqref="K5" showErrorMessage="1" errorStyle="stop" errorTitle="入力値を確認" error="指定された範囲・選択肢で入力してください。">
      <formula1>1</formula1>
      <formula2>12</formula2>
    </dataValidation>
  </dataValidations>
  <pageMargins left="0.7" right="0.7" top="0.75" bottom="0.75" header="0.3" footer="0.3"/>
  <drawing r:id="R5a27ad4e9ee141fb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7988A"/>
  </sheetPr>
  <sheetViews>
    <sheetView showGridLines="0" workbookViewId="0" zoomScale="80" zoomScaleNormal="100"/>
  </sheetViews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</cols>
  <sheetData>
    <row r="1" ht="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5" customHeight="1">
      <c r="A2" s="2" t="str">
        <v>架空の売上履歴  |  24か月 × 8商品 × 3件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0" customHeight="1">
      <c r="A4" s="6" t="str">
        <v>日付</v>
      </c>
      <c r="B4" s="6" t="str">
        <v>業種</v>
      </c>
      <c r="C4" s="6" t="str">
        <v>商品</v>
      </c>
      <c r="D4" s="6" t="str">
        <v>数量</v>
      </c>
      <c r="E4" s="6" t="str">
        <v>税抜単価</v>
      </c>
      <c r="F4" s="6" t="str">
        <v>税抜売上</v>
      </c>
      <c r="G4" s="6" t="str">
        <v>計上原価</v>
      </c>
      <c r="H4" s="6" t="str">
        <v>計上原価控除後差額</v>
      </c>
      <c r="I4" s="6" t="str">
        <v>データ区分</v>
      </c>
      <c r="J4" s="2"/>
      <c r="K4" s="2"/>
      <c r="L4" s="2"/>
      <c r="M4" s="2"/>
    </row>
    <row r="5" ht="25" customHeight="1">
      <c r="A5" s="31" t="d">
        <v>2025-01-05T00:00:00.000Z</v>
      </c>
      <c r="B5" s="2" t="str">
        <v>木工所</v>
      </c>
      <c r="C5" s="2" t="str">
        <v>テーブル</v>
      </c>
      <c r="D5" s="14" t="n">
        <v>11</v>
      </c>
      <c r="E5" s="14" t="n">
        <v>50000</v>
      </c>
      <c r="F5" s="14" t="n">
        <f>ROUND(D5*E5,0)</f>
        <v>550000</v>
      </c>
      <c r="G5" s="14" t="n">
        <v>297000</v>
      </c>
      <c r="H5" s="14" t="n">
        <f>F5-G5</f>
        <v>253000</v>
      </c>
      <c r="I5" s="2" t="str">
        <v>架空サンプル</v>
      </c>
      <c r="J5" s="2"/>
      <c r="K5" s="2"/>
      <c r="L5" s="2"/>
      <c r="M5" s="2"/>
    </row>
    <row r="6" ht="25" customHeight="1">
      <c r="A6" s="31" t="d">
        <v>2025-01-15T00:00:00.000Z</v>
      </c>
      <c r="B6" s="2" t="str">
        <v>木工所</v>
      </c>
      <c r="C6" s="2" t="str">
        <v>テーブル</v>
      </c>
      <c r="D6" s="14" t="n">
        <v>16</v>
      </c>
      <c r="E6" s="14" t="n">
        <v>50000</v>
      </c>
      <c r="F6" s="14" t="n">
        <f>ROUND(D6*E6,0)</f>
        <v>800000</v>
      </c>
      <c r="G6" s="14" t="n">
        <v>432000</v>
      </c>
      <c r="H6" s="14" t="n">
        <f>F6-G6</f>
        <v>368000</v>
      </c>
      <c r="I6" s="2" t="str">
        <v>架空サンプル</v>
      </c>
      <c r="J6" s="2"/>
      <c r="K6" s="2"/>
      <c r="L6" s="2"/>
      <c r="M6" s="2"/>
    </row>
    <row r="7" ht="25" customHeight="1">
      <c r="A7" s="31" t="d">
        <v>2025-01-25T00:00:00.000Z</v>
      </c>
      <c r="B7" s="2" t="str">
        <v>木工所</v>
      </c>
      <c r="C7" s="2" t="str">
        <v>テーブル</v>
      </c>
      <c r="D7" s="14" t="n">
        <v>4</v>
      </c>
      <c r="E7" s="14" t="n">
        <v>50000</v>
      </c>
      <c r="F7" s="14" t="n">
        <f>ROUND(D7*E7,0)</f>
        <v>200000</v>
      </c>
      <c r="G7" s="14" t="n">
        <v>108000</v>
      </c>
      <c r="H7" s="14" t="n">
        <f>F7-G7</f>
        <v>92000</v>
      </c>
      <c r="I7" s="2" t="str">
        <v>架空サンプル</v>
      </c>
      <c r="J7" s="2"/>
      <c r="K7" s="2"/>
      <c r="L7" s="2"/>
      <c r="M7" s="2"/>
    </row>
    <row r="8" ht="25" customHeight="1">
      <c r="A8" s="31" t="d">
        <v>2025-01-05T00:00:00.000Z</v>
      </c>
      <c r="B8" s="2" t="str">
        <v>木工所</v>
      </c>
      <c r="C8" s="2" t="str">
        <v>椅子</v>
      </c>
      <c r="D8" s="14" t="n">
        <v>14</v>
      </c>
      <c r="E8" s="14" t="n">
        <v>15000</v>
      </c>
      <c r="F8" s="14" t="n">
        <f>ROUND(D8*E8,0)</f>
        <v>210000</v>
      </c>
      <c r="G8" s="14" t="n">
        <v>126000</v>
      </c>
      <c r="H8" s="14" t="n">
        <f>F8-G8</f>
        <v>84000</v>
      </c>
      <c r="I8" s="2" t="str">
        <v>架空サンプル</v>
      </c>
      <c r="J8" s="2"/>
      <c r="K8" s="2"/>
      <c r="L8" s="2"/>
      <c r="M8" s="2"/>
    </row>
    <row r="9" ht="25" customHeight="1">
      <c r="A9" s="31" t="d">
        <v>2025-01-15T00:00:00.000Z</v>
      </c>
      <c r="B9" s="2" t="str">
        <v>木工所</v>
      </c>
      <c r="C9" s="2" t="str">
        <v>椅子</v>
      </c>
      <c r="D9" s="14" t="n">
        <v>2</v>
      </c>
      <c r="E9" s="14" t="n">
        <v>15000</v>
      </c>
      <c r="F9" s="14" t="n">
        <f>ROUND(D9*E9,0)</f>
        <v>30000</v>
      </c>
      <c r="G9" s="14" t="n">
        <v>18000</v>
      </c>
      <c r="H9" s="14" t="n">
        <f>F9-G9</f>
        <v>12000</v>
      </c>
      <c r="I9" s="2" t="str">
        <v>架空サンプル</v>
      </c>
      <c r="J9" s="2"/>
      <c r="K9" s="2"/>
      <c r="L9" s="2"/>
      <c r="M9" s="2"/>
    </row>
    <row r="10" ht="25" customHeight="1">
      <c r="A10" s="31" t="d">
        <v>2025-01-25T00:00:00.000Z</v>
      </c>
      <c r="B10" s="2" t="str">
        <v>木工所</v>
      </c>
      <c r="C10" s="2" t="str">
        <v>椅子</v>
      </c>
      <c r="D10" s="14" t="n">
        <v>7</v>
      </c>
      <c r="E10" s="14" t="n">
        <v>15000</v>
      </c>
      <c r="F10" s="14" t="n">
        <f>ROUND(D10*E10,0)</f>
        <v>105000</v>
      </c>
      <c r="G10" s="14" t="n">
        <v>63000</v>
      </c>
      <c r="H10" s="14" t="n">
        <f>F10-G10</f>
        <v>42000</v>
      </c>
      <c r="I10" s="2" t="str">
        <v>架空サンプル</v>
      </c>
      <c r="J10" s="2"/>
      <c r="K10" s="2"/>
      <c r="L10" s="2"/>
      <c r="M10" s="2"/>
    </row>
    <row r="11" ht="25" customHeight="1">
      <c r="A11" s="31" t="d">
        <v>2025-01-05T00:00:00.000Z</v>
      </c>
      <c r="B11" s="2" t="str">
        <v>木工所</v>
      </c>
      <c r="C11" s="2" t="str">
        <v>収納棚</v>
      </c>
      <c r="D11" s="14" t="n">
        <v>17</v>
      </c>
      <c r="E11" s="14" t="n">
        <v>35000</v>
      </c>
      <c r="F11" s="14" t="n">
        <f>ROUND(D11*E11,0)</f>
        <v>595000</v>
      </c>
      <c r="G11" s="14" t="n">
        <v>392700</v>
      </c>
      <c r="H11" s="14" t="n">
        <f>F11-G11</f>
        <v>202300</v>
      </c>
      <c r="I11" s="2" t="str">
        <v>架空サンプル</v>
      </c>
      <c r="J11" s="2"/>
      <c r="K11" s="2"/>
      <c r="L11" s="2"/>
      <c r="M11" s="2"/>
    </row>
    <row r="12" ht="25" customHeight="1">
      <c r="A12" s="31" t="d">
        <v>2025-01-15T00:00:00.000Z</v>
      </c>
      <c r="B12" s="2" t="str">
        <v>木工所</v>
      </c>
      <c r="C12" s="2" t="str">
        <v>収納棚</v>
      </c>
      <c r="D12" s="14" t="n">
        <v>5</v>
      </c>
      <c r="E12" s="14" t="n">
        <v>35000</v>
      </c>
      <c r="F12" s="14" t="n">
        <f>ROUND(D12*E12,0)</f>
        <v>175000</v>
      </c>
      <c r="G12" s="14" t="n">
        <v>115500</v>
      </c>
      <c r="H12" s="14" t="n">
        <f>F12-G12</f>
        <v>59500</v>
      </c>
      <c r="I12" s="2" t="str">
        <v>架空サンプル</v>
      </c>
      <c r="J12" s="2"/>
      <c r="K12" s="2"/>
      <c r="L12" s="2"/>
      <c r="M12" s="2"/>
    </row>
    <row r="13" ht="25" customHeight="1">
      <c r="A13" s="31" t="d">
        <v>2025-01-25T00:00:00.000Z</v>
      </c>
      <c r="B13" s="2" t="str">
        <v>木工所</v>
      </c>
      <c r="C13" s="2" t="str">
        <v>収納棚</v>
      </c>
      <c r="D13" s="14" t="n">
        <v>10</v>
      </c>
      <c r="E13" s="14" t="n">
        <v>35000</v>
      </c>
      <c r="F13" s="14" t="n">
        <f>ROUND(D13*E13,0)</f>
        <v>350000</v>
      </c>
      <c r="G13" s="14" t="n">
        <v>231000</v>
      </c>
      <c r="H13" s="14" t="n">
        <f>F13-G13</f>
        <v>119000</v>
      </c>
      <c r="I13" s="2" t="str">
        <v>架空サンプル</v>
      </c>
      <c r="J13" s="2"/>
      <c r="K13" s="2"/>
      <c r="L13" s="2"/>
      <c r="M13" s="2"/>
    </row>
    <row r="14" ht="25" customHeight="1">
      <c r="A14" s="31" t="d">
        <v>2025-01-05T00:00:00.000Z</v>
      </c>
      <c r="B14" s="2" t="str">
        <v>木工所</v>
      </c>
      <c r="C14" s="2" t="str">
        <v>木製小物</v>
      </c>
      <c r="D14" s="14" t="n">
        <v>3</v>
      </c>
      <c r="E14" s="14" t="n">
        <v>2500</v>
      </c>
      <c r="F14" s="14" t="n">
        <f>ROUND(D14*E14,0)</f>
        <v>7500</v>
      </c>
      <c r="G14" s="14" t="n">
        <v>5400</v>
      </c>
      <c r="H14" s="14" t="n">
        <f>F14-G14</f>
        <v>2100</v>
      </c>
      <c r="I14" s="2" t="str">
        <v>架空サンプル</v>
      </c>
      <c r="J14" s="2"/>
      <c r="K14" s="2"/>
      <c r="L14" s="2"/>
      <c r="M14" s="2"/>
    </row>
    <row r="15" ht="25" customHeight="1">
      <c r="A15" s="31" t="d">
        <v>2025-01-15T00:00:00.000Z</v>
      </c>
      <c r="B15" s="2" t="str">
        <v>木工所</v>
      </c>
      <c r="C15" s="2" t="str">
        <v>木製小物</v>
      </c>
      <c r="D15" s="14" t="n">
        <v>8</v>
      </c>
      <c r="E15" s="14" t="n">
        <v>2500</v>
      </c>
      <c r="F15" s="14" t="n">
        <f>ROUND(D15*E15,0)</f>
        <v>20000</v>
      </c>
      <c r="G15" s="14" t="n">
        <v>14400</v>
      </c>
      <c r="H15" s="14" t="n">
        <f>F15-G15</f>
        <v>5600</v>
      </c>
      <c r="I15" s="2" t="str">
        <v>架空サンプル</v>
      </c>
      <c r="J15" s="2"/>
      <c r="K15" s="2"/>
      <c r="L15" s="2"/>
      <c r="M15" s="2"/>
    </row>
    <row r="16" ht="25" customHeight="1">
      <c r="A16" s="31" t="d">
        <v>2025-01-25T00:00:00.000Z</v>
      </c>
      <c r="B16" s="2" t="str">
        <v>木工所</v>
      </c>
      <c r="C16" s="2" t="str">
        <v>木製小物</v>
      </c>
      <c r="D16" s="14" t="n">
        <v>13</v>
      </c>
      <c r="E16" s="14" t="n">
        <v>2500</v>
      </c>
      <c r="F16" s="14" t="n">
        <f>ROUND(D16*E16,0)</f>
        <v>32500</v>
      </c>
      <c r="G16" s="14" t="n">
        <v>23400</v>
      </c>
      <c r="H16" s="14" t="n">
        <f>F16-G16</f>
        <v>9100</v>
      </c>
      <c r="I16" s="2" t="str">
        <v>架空サンプル</v>
      </c>
      <c r="J16" s="2"/>
      <c r="K16" s="2"/>
      <c r="L16" s="2"/>
      <c r="M16" s="2"/>
    </row>
    <row r="17" ht="25" customHeight="1">
      <c r="A17" s="31" t="d">
        <v>2025-01-05T00:00:00.000Z</v>
      </c>
      <c r="B17" s="2" t="str">
        <v>農家</v>
      </c>
      <c r="C17" s="2" t="str">
        <v>野菜5kg箱</v>
      </c>
      <c r="D17" s="14" t="n">
        <v>24</v>
      </c>
      <c r="E17" s="14" t="n">
        <v>2000</v>
      </c>
      <c r="F17" s="14" t="n">
        <f>ROUND(D17*E17,0)</f>
        <v>48000</v>
      </c>
      <c r="G17" s="14" t="n">
        <v>23040</v>
      </c>
      <c r="H17" s="14" t="n">
        <f>F17-G17</f>
        <v>24960</v>
      </c>
      <c r="I17" s="2" t="str">
        <v>架空サンプル</v>
      </c>
      <c r="J17" s="2"/>
      <c r="K17" s="2"/>
      <c r="L17" s="2"/>
      <c r="M17" s="2"/>
    </row>
    <row r="18" ht="25" customHeight="1">
      <c r="A18" s="31" t="d">
        <v>2025-01-15T00:00:00.000Z</v>
      </c>
      <c r="B18" s="2" t="str">
        <v>農家</v>
      </c>
      <c r="C18" s="2" t="str">
        <v>野菜5kg箱</v>
      </c>
      <c r="D18" s="14" t="n">
        <v>29</v>
      </c>
      <c r="E18" s="14" t="n">
        <v>2000</v>
      </c>
      <c r="F18" s="14" t="n">
        <f>ROUND(D18*E18,0)</f>
        <v>58000</v>
      </c>
      <c r="G18" s="14" t="n">
        <v>27840</v>
      </c>
      <c r="H18" s="14" t="n">
        <f>F18-G18</f>
        <v>30160</v>
      </c>
      <c r="I18" s="2" t="str">
        <v>架空サンプル</v>
      </c>
      <c r="J18" s="2"/>
      <c r="K18" s="2"/>
      <c r="L18" s="2"/>
      <c r="M18" s="2"/>
    </row>
    <row r="19" ht="25" customHeight="1">
      <c r="A19" s="31" t="d">
        <v>2025-01-25T00:00:00.000Z</v>
      </c>
      <c r="B19" s="2" t="str">
        <v>農家</v>
      </c>
      <c r="C19" s="2" t="str">
        <v>野菜5kg箱</v>
      </c>
      <c r="D19" s="14" t="n">
        <v>34</v>
      </c>
      <c r="E19" s="14" t="n">
        <v>2000</v>
      </c>
      <c r="F19" s="14" t="n">
        <f>ROUND(D19*E19,0)</f>
        <v>68000</v>
      </c>
      <c r="G19" s="14" t="n">
        <v>32640</v>
      </c>
      <c r="H19" s="14" t="n">
        <f>F19-G19</f>
        <v>35360</v>
      </c>
      <c r="I19" s="2" t="str">
        <v>架空サンプル</v>
      </c>
      <c r="J19" s="2"/>
      <c r="K19" s="2"/>
      <c r="L19" s="2"/>
      <c r="M19" s="2"/>
    </row>
    <row r="20" ht="25" customHeight="1">
      <c r="A20" s="31" t="d">
        <v>2025-01-05T00:00:00.000Z</v>
      </c>
      <c r="B20" s="2" t="str">
        <v>農家</v>
      </c>
      <c r="C20" s="2" t="str">
        <v>トマト箱</v>
      </c>
      <c r="D20" s="14" t="n">
        <v>27</v>
      </c>
      <c r="E20" s="14" t="n">
        <v>1800</v>
      </c>
      <c r="F20" s="14" t="n">
        <f>ROUND(D20*E20,0)</f>
        <v>48600</v>
      </c>
      <c r="G20" s="14" t="n">
        <v>26244</v>
      </c>
      <c r="H20" s="14" t="n">
        <f>F20-G20</f>
        <v>22356</v>
      </c>
      <c r="I20" s="2" t="str">
        <v>架空サンプル</v>
      </c>
      <c r="J20" s="2"/>
      <c r="K20" s="2"/>
      <c r="L20" s="2"/>
      <c r="M20" s="2"/>
    </row>
    <row r="21" ht="25" customHeight="1">
      <c r="A21" s="31" t="d">
        <v>2025-01-15T00:00:00.000Z</v>
      </c>
      <c r="B21" s="2" t="str">
        <v>農家</v>
      </c>
      <c r="C21" s="2" t="str">
        <v>トマト箱</v>
      </c>
      <c r="D21" s="14" t="n">
        <v>32</v>
      </c>
      <c r="E21" s="14" t="n">
        <v>1800</v>
      </c>
      <c r="F21" s="14" t="n">
        <f>ROUND(D21*E21,0)</f>
        <v>57600</v>
      </c>
      <c r="G21" s="14" t="n">
        <v>31104</v>
      </c>
      <c r="H21" s="14" t="n">
        <f>F21-G21</f>
        <v>26496</v>
      </c>
      <c r="I21" s="2" t="str">
        <v>架空サンプル</v>
      </c>
      <c r="J21" s="2"/>
      <c r="K21" s="2"/>
      <c r="L21" s="2"/>
      <c r="M21" s="2"/>
    </row>
    <row r="22" ht="25" customHeight="1">
      <c r="A22" s="31" t="d">
        <v>2025-01-25T00:00:00.000Z</v>
      </c>
      <c r="B22" s="2" t="str">
        <v>農家</v>
      </c>
      <c r="C22" s="2" t="str">
        <v>トマト箱</v>
      </c>
      <c r="D22" s="14" t="n">
        <v>20</v>
      </c>
      <c r="E22" s="14" t="n">
        <v>1800</v>
      </c>
      <c r="F22" s="14" t="n">
        <f>ROUND(D22*E22,0)</f>
        <v>36000</v>
      </c>
      <c r="G22" s="14" t="n">
        <v>19440</v>
      </c>
      <c r="H22" s="14" t="n">
        <f>F22-G22</f>
        <v>16560</v>
      </c>
      <c r="I22" s="2" t="str">
        <v>架空サンプル</v>
      </c>
      <c r="J22" s="2"/>
      <c r="K22" s="2"/>
      <c r="L22" s="2"/>
      <c r="M22" s="2"/>
    </row>
    <row r="23" ht="25" customHeight="1">
      <c r="A23" s="31" t="d">
        <v>2025-01-05T00:00:00.000Z</v>
      </c>
      <c r="B23" s="2" t="str">
        <v>農家</v>
      </c>
      <c r="C23" s="2" t="str">
        <v>米5kg</v>
      </c>
      <c r="D23" s="14" t="n">
        <v>30</v>
      </c>
      <c r="E23" s="14" t="n">
        <v>3200</v>
      </c>
      <c r="F23" s="14" t="n">
        <f>ROUND(D23*E23,0)</f>
        <v>96000</v>
      </c>
      <c r="G23" s="14" t="n">
        <v>57600</v>
      </c>
      <c r="H23" s="14" t="n">
        <f>F23-G23</f>
        <v>38400</v>
      </c>
      <c r="I23" s="2" t="str">
        <v>架空サンプル</v>
      </c>
      <c r="J23" s="2"/>
      <c r="K23" s="2"/>
      <c r="L23" s="2"/>
      <c r="M23" s="2"/>
    </row>
    <row r="24" ht="25" customHeight="1">
      <c r="A24" s="31" t="d">
        <v>2025-01-15T00:00:00.000Z</v>
      </c>
      <c r="B24" s="2" t="str">
        <v>農家</v>
      </c>
      <c r="C24" s="2" t="str">
        <v>米5kg</v>
      </c>
      <c r="D24" s="14" t="n">
        <v>35</v>
      </c>
      <c r="E24" s="14" t="n">
        <v>3200</v>
      </c>
      <c r="F24" s="14" t="n">
        <f>ROUND(D24*E24,0)</f>
        <v>112000</v>
      </c>
      <c r="G24" s="14" t="n">
        <v>67200</v>
      </c>
      <c r="H24" s="14" t="n">
        <f>F24-G24</f>
        <v>44800</v>
      </c>
      <c r="I24" s="2" t="str">
        <v>架空サンプル</v>
      </c>
      <c r="J24" s="2"/>
      <c r="K24" s="2"/>
      <c r="L24" s="2"/>
      <c r="M24" s="2"/>
    </row>
    <row r="25" ht="25" customHeight="1">
      <c r="A25" s="31" t="d">
        <v>2025-01-25T00:00:00.000Z</v>
      </c>
      <c r="B25" s="2" t="str">
        <v>農家</v>
      </c>
      <c r="C25" s="2" t="str">
        <v>米5kg</v>
      </c>
      <c r="D25" s="14" t="n">
        <v>23</v>
      </c>
      <c r="E25" s="14" t="n">
        <v>3200</v>
      </c>
      <c r="F25" s="14" t="n">
        <f>ROUND(D25*E25,0)</f>
        <v>73600</v>
      </c>
      <c r="G25" s="14" t="n">
        <v>44160</v>
      </c>
      <c r="H25" s="14" t="n">
        <f>F25-G25</f>
        <v>29440</v>
      </c>
      <c r="I25" s="2" t="str">
        <v>架空サンプル</v>
      </c>
      <c r="J25" s="2"/>
      <c r="K25" s="2"/>
      <c r="L25" s="2"/>
      <c r="M25" s="2"/>
    </row>
    <row r="26" ht="25" customHeight="1">
      <c r="A26" s="31" t="d">
        <v>2025-01-05T00:00:00.000Z</v>
      </c>
      <c r="B26" s="2" t="str">
        <v>農家</v>
      </c>
      <c r="C26" s="2" t="str">
        <v>季節の果物</v>
      </c>
      <c r="D26" s="14" t="n">
        <v>33</v>
      </c>
      <c r="E26" s="14" t="n">
        <v>4000</v>
      </c>
      <c r="F26" s="14" t="n">
        <f>ROUND(D26*E26,0)</f>
        <v>132000</v>
      </c>
      <c r="G26" s="14" t="n">
        <v>87120</v>
      </c>
      <c r="H26" s="14" t="n">
        <f>F26-G26</f>
        <v>44880</v>
      </c>
      <c r="I26" s="2" t="str">
        <v>架空サンプル</v>
      </c>
      <c r="J26" s="2"/>
      <c r="K26" s="2"/>
      <c r="L26" s="2"/>
      <c r="M26" s="2"/>
    </row>
    <row r="27" ht="25" customHeight="1">
      <c r="A27" s="31" t="d">
        <v>2025-01-15T00:00:00.000Z</v>
      </c>
      <c r="B27" s="2" t="str">
        <v>農家</v>
      </c>
      <c r="C27" s="2" t="str">
        <v>季節の果物</v>
      </c>
      <c r="D27" s="14" t="n">
        <v>21</v>
      </c>
      <c r="E27" s="14" t="n">
        <v>4000</v>
      </c>
      <c r="F27" s="14" t="n">
        <f>ROUND(D27*E27,0)</f>
        <v>84000</v>
      </c>
      <c r="G27" s="14" t="n">
        <v>55440</v>
      </c>
      <c r="H27" s="14" t="n">
        <f>F27-G27</f>
        <v>28560</v>
      </c>
      <c r="I27" s="2" t="str">
        <v>架空サンプル</v>
      </c>
      <c r="J27" s="2"/>
      <c r="K27" s="2"/>
      <c r="L27" s="2"/>
      <c r="M27" s="2"/>
    </row>
    <row r="28" ht="25" customHeight="1">
      <c r="A28" s="31" t="d">
        <v>2025-01-25T00:00:00.000Z</v>
      </c>
      <c r="B28" s="2" t="str">
        <v>農家</v>
      </c>
      <c r="C28" s="2" t="str">
        <v>季節の果物</v>
      </c>
      <c r="D28" s="14" t="n">
        <v>26</v>
      </c>
      <c r="E28" s="14" t="n">
        <v>4000</v>
      </c>
      <c r="F28" s="14" t="n">
        <f>ROUND(D28*E28,0)</f>
        <v>104000</v>
      </c>
      <c r="G28" s="14" t="n">
        <v>68640</v>
      </c>
      <c r="H28" s="14" t="n">
        <f>F28-G28</f>
        <v>35360</v>
      </c>
      <c r="I28" s="2" t="str">
        <v>架空サンプル</v>
      </c>
      <c r="J28" s="2"/>
      <c r="K28" s="2"/>
      <c r="L28" s="2"/>
      <c r="M28" s="2"/>
    </row>
    <row r="29" ht="25" customHeight="1">
      <c r="A29" s="31" t="d">
        <v>2025-02-05T00:00:00.000Z</v>
      </c>
      <c r="B29" s="2" t="str">
        <v>木工所</v>
      </c>
      <c r="C29" s="2" t="str">
        <v>テーブル</v>
      </c>
      <c r="D29" s="14" t="n">
        <v>18</v>
      </c>
      <c r="E29" s="14" t="n">
        <v>50000</v>
      </c>
      <c r="F29" s="14" t="n">
        <f>ROUND(D29*E29,0)</f>
        <v>900000</v>
      </c>
      <c r="G29" s="14" t="n">
        <v>540000</v>
      </c>
      <c r="H29" s="14" t="n">
        <f>F29-G29</f>
        <v>360000</v>
      </c>
      <c r="I29" s="2" t="str">
        <v>架空サンプル</v>
      </c>
      <c r="J29" s="2"/>
      <c r="K29" s="2"/>
      <c r="L29" s="2"/>
      <c r="M29" s="2"/>
    </row>
    <row r="30" ht="25" customHeight="1">
      <c r="A30" s="31" t="d">
        <v>2025-02-15T00:00:00.000Z</v>
      </c>
      <c r="B30" s="2" t="str">
        <v>木工所</v>
      </c>
      <c r="C30" s="2" t="str">
        <v>テーブル</v>
      </c>
      <c r="D30" s="14" t="n">
        <v>6</v>
      </c>
      <c r="E30" s="14" t="n">
        <v>50000</v>
      </c>
      <c r="F30" s="14" t="n">
        <f>ROUND(D30*E30,0)</f>
        <v>300000</v>
      </c>
      <c r="G30" s="14" t="n">
        <v>180000</v>
      </c>
      <c r="H30" s="14" t="n">
        <f>F30-G30</f>
        <v>120000</v>
      </c>
      <c r="I30" s="2" t="str">
        <v>架空サンプル</v>
      </c>
      <c r="J30" s="2"/>
      <c r="K30" s="2"/>
      <c r="L30" s="2"/>
      <c r="M30" s="2"/>
    </row>
    <row r="31" ht="25" customHeight="1">
      <c r="A31" s="31" t="d">
        <v>2025-02-25T00:00:00.000Z</v>
      </c>
      <c r="B31" s="2" t="str">
        <v>木工所</v>
      </c>
      <c r="C31" s="2" t="str">
        <v>テーブル</v>
      </c>
      <c r="D31" s="14" t="n">
        <v>11</v>
      </c>
      <c r="E31" s="14" t="n">
        <v>50000</v>
      </c>
      <c r="F31" s="14" t="n">
        <f>ROUND(D31*E31,0)</f>
        <v>550000</v>
      </c>
      <c r="G31" s="14" t="n">
        <v>330000</v>
      </c>
      <c r="H31" s="14" t="n">
        <f>F31-G31</f>
        <v>220000</v>
      </c>
      <c r="I31" s="2" t="str">
        <v>架空サンプル</v>
      </c>
      <c r="J31" s="2"/>
      <c r="K31" s="2"/>
      <c r="L31" s="2"/>
      <c r="M31" s="2"/>
    </row>
    <row r="32" ht="25" customHeight="1">
      <c r="A32" s="31" t="d">
        <v>2025-02-05T00:00:00.000Z</v>
      </c>
      <c r="B32" s="2" t="str">
        <v>木工所</v>
      </c>
      <c r="C32" s="2" t="str">
        <v>椅子</v>
      </c>
      <c r="D32" s="14" t="n">
        <v>4</v>
      </c>
      <c r="E32" s="14" t="n">
        <v>15000</v>
      </c>
      <c r="F32" s="14" t="n">
        <f>ROUND(D32*E32,0)</f>
        <v>60000</v>
      </c>
      <c r="G32" s="14" t="n">
        <v>39600</v>
      </c>
      <c r="H32" s="14" t="n">
        <f>F32-G32</f>
        <v>20400</v>
      </c>
      <c r="I32" s="2" t="str">
        <v>架空サンプル</v>
      </c>
      <c r="J32" s="2"/>
      <c r="K32" s="2"/>
      <c r="L32" s="2"/>
      <c r="M32" s="2"/>
    </row>
    <row r="33" ht="25" customHeight="1">
      <c r="A33" s="31" t="d">
        <v>2025-02-15T00:00:00.000Z</v>
      </c>
      <c r="B33" s="2" t="str">
        <v>木工所</v>
      </c>
      <c r="C33" s="2" t="str">
        <v>椅子</v>
      </c>
      <c r="D33" s="14" t="n">
        <v>9</v>
      </c>
      <c r="E33" s="14" t="n">
        <v>15000</v>
      </c>
      <c r="F33" s="14" t="n">
        <f>ROUND(D33*E33,0)</f>
        <v>135000</v>
      </c>
      <c r="G33" s="14" t="n">
        <v>89100</v>
      </c>
      <c r="H33" s="14" t="n">
        <f>F33-G33</f>
        <v>45900</v>
      </c>
      <c r="I33" s="2" t="str">
        <v>架空サンプル</v>
      </c>
      <c r="J33" s="2"/>
      <c r="K33" s="2"/>
      <c r="L33" s="2"/>
      <c r="M33" s="2"/>
    </row>
    <row r="34" ht="25" customHeight="1">
      <c r="A34" s="31" t="d">
        <v>2025-02-25T00:00:00.000Z</v>
      </c>
      <c r="B34" s="2" t="str">
        <v>木工所</v>
      </c>
      <c r="C34" s="2" t="str">
        <v>椅子</v>
      </c>
      <c r="D34" s="14" t="n">
        <v>14</v>
      </c>
      <c r="E34" s="14" t="n">
        <v>15000</v>
      </c>
      <c r="F34" s="14" t="n">
        <f>ROUND(D34*E34,0)</f>
        <v>210000</v>
      </c>
      <c r="G34" s="14" t="n">
        <v>138600</v>
      </c>
      <c r="H34" s="14" t="n">
        <f>F34-G34</f>
        <v>71400</v>
      </c>
      <c r="I34" s="2" t="str">
        <v>架空サンプル</v>
      </c>
      <c r="J34" s="2"/>
      <c r="K34" s="2"/>
      <c r="L34" s="2"/>
      <c r="M34" s="2"/>
    </row>
    <row r="35" ht="25" customHeight="1">
      <c r="A35" s="31" t="d">
        <v>2025-02-05T00:00:00.000Z</v>
      </c>
      <c r="B35" s="2" t="str">
        <v>木工所</v>
      </c>
      <c r="C35" s="2" t="str">
        <v>収納棚</v>
      </c>
      <c r="D35" s="14" t="n">
        <v>7</v>
      </c>
      <c r="E35" s="14" t="n">
        <v>35000</v>
      </c>
      <c r="F35" s="14" t="n">
        <f>ROUND(D35*E35,0)</f>
        <v>245000</v>
      </c>
      <c r="G35" s="14" t="n">
        <v>176400</v>
      </c>
      <c r="H35" s="14" t="n">
        <f>F35-G35</f>
        <v>68600</v>
      </c>
      <c r="I35" s="2" t="str">
        <v>架空サンプル</v>
      </c>
      <c r="J35" s="2"/>
      <c r="K35" s="2"/>
      <c r="L35" s="2"/>
      <c r="M35" s="2"/>
    </row>
    <row r="36" ht="25" customHeight="1">
      <c r="A36" s="31" t="d">
        <v>2025-02-15T00:00:00.000Z</v>
      </c>
      <c r="B36" s="2" t="str">
        <v>木工所</v>
      </c>
      <c r="C36" s="2" t="str">
        <v>収納棚</v>
      </c>
      <c r="D36" s="14" t="n">
        <v>12</v>
      </c>
      <c r="E36" s="14" t="n">
        <v>35000</v>
      </c>
      <c r="F36" s="14" t="n">
        <f>ROUND(D36*E36,0)</f>
        <v>420000</v>
      </c>
      <c r="G36" s="14" t="n">
        <v>302400</v>
      </c>
      <c r="H36" s="14" t="n">
        <f>F36-G36</f>
        <v>117600</v>
      </c>
      <c r="I36" s="2" t="str">
        <v>架空サンプル</v>
      </c>
      <c r="J36" s="2"/>
      <c r="K36" s="2"/>
      <c r="L36" s="2"/>
      <c r="M36" s="2"/>
    </row>
    <row r="37" ht="25" customHeight="1">
      <c r="A37" s="31" t="d">
        <v>2025-02-25T00:00:00.000Z</v>
      </c>
      <c r="B37" s="2" t="str">
        <v>木工所</v>
      </c>
      <c r="C37" s="2" t="str">
        <v>収納棚</v>
      </c>
      <c r="D37" s="14" t="n">
        <v>17</v>
      </c>
      <c r="E37" s="14" t="n">
        <v>35000</v>
      </c>
      <c r="F37" s="14" t="n">
        <f>ROUND(D37*E37,0)</f>
        <v>595000</v>
      </c>
      <c r="G37" s="14" t="n">
        <v>428400</v>
      </c>
      <c r="H37" s="14" t="n">
        <f>F37-G37</f>
        <v>166600</v>
      </c>
      <c r="I37" s="2" t="str">
        <v>架空サンプル</v>
      </c>
      <c r="J37" s="2"/>
      <c r="K37" s="2"/>
      <c r="L37" s="2"/>
      <c r="M37" s="2"/>
    </row>
    <row r="38" ht="25" customHeight="1">
      <c r="A38" s="31" t="d">
        <v>2025-02-05T00:00:00.000Z</v>
      </c>
      <c r="B38" s="2" t="str">
        <v>木工所</v>
      </c>
      <c r="C38" s="2" t="str">
        <v>木製小物</v>
      </c>
      <c r="D38" s="14" t="n">
        <v>10</v>
      </c>
      <c r="E38" s="14" t="n">
        <v>2500</v>
      </c>
      <c r="F38" s="14" t="n">
        <f>ROUND(D38*E38,0)</f>
        <v>25000</v>
      </c>
      <c r="G38" s="14" t="n">
        <v>12000</v>
      </c>
      <c r="H38" s="14" t="n">
        <f>F38-G38</f>
        <v>13000</v>
      </c>
      <c r="I38" s="2" t="str">
        <v>架空サンプル</v>
      </c>
      <c r="J38" s="2"/>
      <c r="K38" s="2"/>
      <c r="L38" s="2"/>
      <c r="M38" s="2"/>
    </row>
    <row r="39" ht="25" customHeight="1">
      <c r="A39" s="31" t="d">
        <v>2025-02-15T00:00:00.000Z</v>
      </c>
      <c r="B39" s="2" t="str">
        <v>木工所</v>
      </c>
      <c r="C39" s="2" t="str">
        <v>木製小物</v>
      </c>
      <c r="D39" s="14" t="n">
        <v>15</v>
      </c>
      <c r="E39" s="14" t="n">
        <v>2500</v>
      </c>
      <c r="F39" s="14" t="n">
        <f>ROUND(D39*E39,0)</f>
        <v>37500</v>
      </c>
      <c r="G39" s="14" t="n">
        <v>18000</v>
      </c>
      <c r="H39" s="14" t="n">
        <f>F39-G39</f>
        <v>19500</v>
      </c>
      <c r="I39" s="2" t="str">
        <v>架空サンプル</v>
      </c>
      <c r="J39" s="2"/>
      <c r="K39" s="2"/>
      <c r="L39" s="2"/>
      <c r="M39" s="2"/>
    </row>
    <row r="40" ht="25" customHeight="1">
      <c r="A40" s="31" t="d">
        <v>2025-02-25T00:00:00.000Z</v>
      </c>
      <c r="B40" s="2" t="str">
        <v>木工所</v>
      </c>
      <c r="C40" s="2" t="str">
        <v>木製小物</v>
      </c>
      <c r="D40" s="14" t="n">
        <v>3</v>
      </c>
      <c r="E40" s="14" t="n">
        <v>2500</v>
      </c>
      <c r="F40" s="14" t="n">
        <f>ROUND(D40*E40,0)</f>
        <v>7500</v>
      </c>
      <c r="G40" s="14" t="n">
        <v>3600</v>
      </c>
      <c r="H40" s="14" t="n">
        <f>F40-G40</f>
        <v>3900</v>
      </c>
      <c r="I40" s="2" t="str">
        <v>架空サンプル</v>
      </c>
      <c r="J40" s="2"/>
      <c r="K40" s="2"/>
      <c r="L40" s="2"/>
      <c r="M40" s="2"/>
    </row>
    <row r="41" ht="25" customHeight="1">
      <c r="A41" s="31" t="d">
        <v>2025-02-05T00:00:00.000Z</v>
      </c>
      <c r="B41" s="2" t="str">
        <v>農家</v>
      </c>
      <c r="C41" s="2" t="str">
        <v>野菜5kg箱</v>
      </c>
      <c r="D41" s="14" t="n">
        <v>31</v>
      </c>
      <c r="E41" s="14" t="n">
        <v>2000</v>
      </c>
      <c r="F41" s="14" t="n">
        <f>ROUND(D41*E41,0)</f>
        <v>62000</v>
      </c>
      <c r="G41" s="14" t="n">
        <v>33480</v>
      </c>
      <c r="H41" s="14" t="n">
        <f>F41-G41</f>
        <v>28520</v>
      </c>
      <c r="I41" s="2" t="str">
        <v>架空サンプル</v>
      </c>
      <c r="J41" s="2"/>
      <c r="K41" s="2"/>
      <c r="L41" s="2"/>
      <c r="M41" s="2"/>
    </row>
    <row r="42" ht="25" customHeight="1">
      <c r="A42" s="31" t="d">
        <v>2025-02-15T00:00:00.000Z</v>
      </c>
      <c r="B42" s="2" t="str">
        <v>農家</v>
      </c>
      <c r="C42" s="2" t="str">
        <v>野菜5kg箱</v>
      </c>
      <c r="D42" s="14" t="n">
        <v>36</v>
      </c>
      <c r="E42" s="14" t="n">
        <v>2000</v>
      </c>
      <c r="F42" s="14" t="n">
        <f>ROUND(D42*E42,0)</f>
        <v>72000</v>
      </c>
      <c r="G42" s="14" t="n">
        <v>38880</v>
      </c>
      <c r="H42" s="14" t="n">
        <f>F42-G42</f>
        <v>33120</v>
      </c>
      <c r="I42" s="2" t="str">
        <v>架空サンプル</v>
      </c>
      <c r="J42" s="2"/>
      <c r="K42" s="2"/>
      <c r="L42" s="2"/>
      <c r="M42" s="2"/>
    </row>
    <row r="43" ht="25" customHeight="1">
      <c r="A43" s="31" t="d">
        <v>2025-02-25T00:00:00.000Z</v>
      </c>
      <c r="B43" s="2" t="str">
        <v>農家</v>
      </c>
      <c r="C43" s="2" t="str">
        <v>野菜5kg箱</v>
      </c>
      <c r="D43" s="14" t="n">
        <v>24</v>
      </c>
      <c r="E43" s="14" t="n">
        <v>2000</v>
      </c>
      <c r="F43" s="14" t="n">
        <f>ROUND(D43*E43,0)</f>
        <v>48000</v>
      </c>
      <c r="G43" s="14" t="n">
        <v>25920</v>
      </c>
      <c r="H43" s="14" t="n">
        <f>F43-G43</f>
        <v>22080</v>
      </c>
      <c r="I43" s="2" t="str">
        <v>架空サンプル</v>
      </c>
      <c r="J43" s="2"/>
      <c r="K43" s="2"/>
      <c r="L43" s="2"/>
      <c r="M43" s="2"/>
    </row>
    <row r="44" ht="25" customHeight="1">
      <c r="A44" s="31" t="d">
        <v>2025-02-05T00:00:00.000Z</v>
      </c>
      <c r="B44" s="2" t="str">
        <v>農家</v>
      </c>
      <c r="C44" s="2" t="str">
        <v>トマト箱</v>
      </c>
      <c r="D44" s="14" t="n">
        <v>34</v>
      </c>
      <c r="E44" s="14" t="n">
        <v>1800</v>
      </c>
      <c r="F44" s="14" t="n">
        <f>ROUND(D44*E44,0)</f>
        <v>61200</v>
      </c>
      <c r="G44" s="14" t="n">
        <v>36720</v>
      </c>
      <c r="H44" s="14" t="n">
        <f>F44-G44</f>
        <v>24480</v>
      </c>
      <c r="I44" s="2" t="str">
        <v>架空サンプル</v>
      </c>
      <c r="J44" s="2"/>
      <c r="K44" s="2"/>
      <c r="L44" s="2"/>
      <c r="M44" s="2"/>
    </row>
    <row r="45" ht="25" customHeight="1">
      <c r="A45" s="31" t="d">
        <v>2025-02-15T00:00:00.000Z</v>
      </c>
      <c r="B45" s="2" t="str">
        <v>農家</v>
      </c>
      <c r="C45" s="2" t="str">
        <v>トマト箱</v>
      </c>
      <c r="D45" s="14" t="n">
        <v>22</v>
      </c>
      <c r="E45" s="14" t="n">
        <v>1800</v>
      </c>
      <c r="F45" s="14" t="n">
        <f>ROUND(D45*E45,0)</f>
        <v>39600</v>
      </c>
      <c r="G45" s="14" t="n">
        <v>23760</v>
      </c>
      <c r="H45" s="14" t="n">
        <f>F45-G45</f>
        <v>15840</v>
      </c>
      <c r="I45" s="2" t="str">
        <v>架空サンプル</v>
      </c>
      <c r="J45" s="2"/>
      <c r="K45" s="2"/>
      <c r="L45" s="2"/>
      <c r="M45" s="2"/>
    </row>
    <row r="46" ht="25" customHeight="1">
      <c r="A46" s="31" t="d">
        <v>2025-02-25T00:00:00.000Z</v>
      </c>
      <c r="B46" s="2" t="str">
        <v>農家</v>
      </c>
      <c r="C46" s="2" t="str">
        <v>トマト箱</v>
      </c>
      <c r="D46" s="14" t="n">
        <v>27</v>
      </c>
      <c r="E46" s="14" t="n">
        <v>1800</v>
      </c>
      <c r="F46" s="14" t="n">
        <f>ROUND(D46*E46,0)</f>
        <v>48600</v>
      </c>
      <c r="G46" s="14" t="n">
        <v>29160</v>
      </c>
      <c r="H46" s="14" t="n">
        <f>F46-G46</f>
        <v>19440</v>
      </c>
      <c r="I46" s="2" t="str">
        <v>架空サンプル</v>
      </c>
      <c r="J46" s="2"/>
      <c r="K46" s="2"/>
      <c r="L46" s="2"/>
      <c r="M46" s="2"/>
    </row>
    <row r="47" ht="25" customHeight="1">
      <c r="A47" s="31" t="d">
        <v>2025-02-05T00:00:00.000Z</v>
      </c>
      <c r="B47" s="2" t="str">
        <v>農家</v>
      </c>
      <c r="C47" s="2" t="str">
        <v>米5kg</v>
      </c>
      <c r="D47" s="14" t="n">
        <v>20</v>
      </c>
      <c r="E47" s="14" t="n">
        <v>3200</v>
      </c>
      <c r="F47" s="14" t="n">
        <f>ROUND(D47*E47,0)</f>
        <v>64000</v>
      </c>
      <c r="G47" s="14" t="n">
        <v>42240</v>
      </c>
      <c r="H47" s="14" t="n">
        <f>F47-G47</f>
        <v>21760</v>
      </c>
      <c r="I47" s="2" t="str">
        <v>架空サンプル</v>
      </c>
      <c r="J47" s="2"/>
      <c r="K47" s="2"/>
      <c r="L47" s="2"/>
      <c r="M47" s="2"/>
    </row>
    <row r="48" ht="25" customHeight="1">
      <c r="A48" s="31" t="d">
        <v>2025-02-15T00:00:00.000Z</v>
      </c>
      <c r="B48" s="2" t="str">
        <v>農家</v>
      </c>
      <c r="C48" s="2" t="str">
        <v>米5kg</v>
      </c>
      <c r="D48" s="14" t="n">
        <v>25</v>
      </c>
      <c r="E48" s="14" t="n">
        <v>3200</v>
      </c>
      <c r="F48" s="14" t="n">
        <f>ROUND(D48*E48,0)</f>
        <v>80000</v>
      </c>
      <c r="G48" s="14" t="n">
        <v>52800</v>
      </c>
      <c r="H48" s="14" t="n">
        <f>F48-G48</f>
        <v>27200</v>
      </c>
      <c r="I48" s="2" t="str">
        <v>架空サンプル</v>
      </c>
      <c r="J48" s="2"/>
      <c r="K48" s="2"/>
      <c r="L48" s="2"/>
      <c r="M48" s="2"/>
    </row>
    <row r="49" ht="25" customHeight="1">
      <c r="A49" s="31" t="d">
        <v>2025-02-25T00:00:00.000Z</v>
      </c>
      <c r="B49" s="2" t="str">
        <v>農家</v>
      </c>
      <c r="C49" s="2" t="str">
        <v>米5kg</v>
      </c>
      <c r="D49" s="14" t="n">
        <v>30</v>
      </c>
      <c r="E49" s="14" t="n">
        <v>3200</v>
      </c>
      <c r="F49" s="14" t="n">
        <f>ROUND(D49*E49,0)</f>
        <v>96000</v>
      </c>
      <c r="G49" s="14" t="n">
        <v>63360</v>
      </c>
      <c r="H49" s="14" t="n">
        <f>F49-G49</f>
        <v>32640</v>
      </c>
      <c r="I49" s="2" t="str">
        <v>架空サンプル</v>
      </c>
      <c r="J49" s="2"/>
      <c r="K49" s="2"/>
      <c r="L49" s="2"/>
      <c r="M49" s="2"/>
    </row>
    <row r="50" ht="25" customHeight="1">
      <c r="A50" s="31" t="d">
        <v>2025-02-05T00:00:00.000Z</v>
      </c>
      <c r="B50" s="2" t="str">
        <v>農家</v>
      </c>
      <c r="C50" s="2" t="str">
        <v>季節の果物</v>
      </c>
      <c r="D50" s="14" t="n">
        <v>23</v>
      </c>
      <c r="E50" s="14" t="n">
        <v>4000</v>
      </c>
      <c r="F50" s="14" t="n">
        <f>ROUND(D50*E50,0)</f>
        <v>92000</v>
      </c>
      <c r="G50" s="14" t="n">
        <v>66240</v>
      </c>
      <c r="H50" s="14" t="n">
        <f>F50-G50</f>
        <v>25760</v>
      </c>
      <c r="I50" s="2" t="str">
        <v>架空サンプル</v>
      </c>
      <c r="J50" s="2"/>
      <c r="K50" s="2"/>
      <c r="L50" s="2"/>
      <c r="M50" s="2"/>
    </row>
    <row r="51" ht="25" customHeight="1">
      <c r="A51" s="31" t="d">
        <v>2025-02-15T00:00:00.000Z</v>
      </c>
      <c r="B51" s="2" t="str">
        <v>農家</v>
      </c>
      <c r="C51" s="2" t="str">
        <v>季節の果物</v>
      </c>
      <c r="D51" s="14" t="n">
        <v>28</v>
      </c>
      <c r="E51" s="14" t="n">
        <v>4000</v>
      </c>
      <c r="F51" s="14" t="n">
        <f>ROUND(D51*E51,0)</f>
        <v>112000</v>
      </c>
      <c r="G51" s="14" t="n">
        <v>80640</v>
      </c>
      <c r="H51" s="14" t="n">
        <f>F51-G51</f>
        <v>31360</v>
      </c>
      <c r="I51" s="2" t="str">
        <v>架空サンプル</v>
      </c>
      <c r="J51" s="2"/>
      <c r="K51" s="2"/>
      <c r="L51" s="2"/>
      <c r="M51" s="2"/>
    </row>
    <row r="52" ht="25" customHeight="1">
      <c r="A52" s="31" t="d">
        <v>2025-02-25T00:00:00.000Z</v>
      </c>
      <c r="B52" s="2" t="str">
        <v>農家</v>
      </c>
      <c r="C52" s="2" t="str">
        <v>季節の果物</v>
      </c>
      <c r="D52" s="14" t="n">
        <v>33</v>
      </c>
      <c r="E52" s="14" t="n">
        <v>4000</v>
      </c>
      <c r="F52" s="14" t="n">
        <f>ROUND(D52*E52,0)</f>
        <v>132000</v>
      </c>
      <c r="G52" s="14" t="n">
        <v>95040</v>
      </c>
      <c r="H52" s="14" t="n">
        <f>F52-G52</f>
        <v>36960</v>
      </c>
      <c r="I52" s="2" t="str">
        <v>架空サンプル</v>
      </c>
      <c r="J52" s="2"/>
      <c r="K52" s="2"/>
      <c r="L52" s="2"/>
      <c r="M52" s="2"/>
    </row>
    <row r="53" ht="25" customHeight="1">
      <c r="A53" s="31" t="d">
        <v>2025-03-05T00:00:00.000Z</v>
      </c>
      <c r="B53" s="2" t="str">
        <v>木工所</v>
      </c>
      <c r="C53" s="2" t="str">
        <v>テーブル</v>
      </c>
      <c r="D53" s="14" t="n">
        <v>8</v>
      </c>
      <c r="E53" s="14" t="n">
        <v>50000</v>
      </c>
      <c r="F53" s="14" t="n">
        <f>ROUND(D53*E53,0)</f>
        <v>400000</v>
      </c>
      <c r="G53" s="14" t="n">
        <v>264000</v>
      </c>
      <c r="H53" s="14" t="n">
        <f>F53-G53</f>
        <v>136000</v>
      </c>
      <c r="I53" s="2" t="str">
        <v>架空サンプル</v>
      </c>
      <c r="J53" s="2"/>
      <c r="K53" s="2"/>
      <c r="L53" s="2"/>
      <c r="M53" s="2"/>
    </row>
    <row r="54" ht="25" customHeight="1">
      <c r="A54" s="31" t="d">
        <v>2025-03-15T00:00:00.000Z</v>
      </c>
      <c r="B54" s="2" t="str">
        <v>木工所</v>
      </c>
      <c r="C54" s="2" t="str">
        <v>テーブル</v>
      </c>
      <c r="D54" s="14" t="n">
        <v>13</v>
      </c>
      <c r="E54" s="14" t="n">
        <v>50000</v>
      </c>
      <c r="F54" s="14" t="n">
        <f>ROUND(D54*E54,0)</f>
        <v>650000</v>
      </c>
      <c r="G54" s="14" t="n">
        <v>429000</v>
      </c>
      <c r="H54" s="14" t="n">
        <f>F54-G54</f>
        <v>221000</v>
      </c>
      <c r="I54" s="2" t="str">
        <v>架空サンプル</v>
      </c>
      <c r="J54" s="2"/>
      <c r="K54" s="2"/>
      <c r="L54" s="2"/>
      <c r="M54" s="2"/>
    </row>
    <row r="55" ht="25" customHeight="1">
      <c r="A55" s="31" t="d">
        <v>2025-03-25T00:00:00.000Z</v>
      </c>
      <c r="B55" s="2" t="str">
        <v>木工所</v>
      </c>
      <c r="C55" s="2" t="str">
        <v>テーブル</v>
      </c>
      <c r="D55" s="14" t="n">
        <v>18</v>
      </c>
      <c r="E55" s="14" t="n">
        <v>50000</v>
      </c>
      <c r="F55" s="14" t="n">
        <f>ROUND(D55*E55,0)</f>
        <v>900000</v>
      </c>
      <c r="G55" s="14" t="n">
        <v>594000</v>
      </c>
      <c r="H55" s="14" t="n">
        <f>F55-G55</f>
        <v>306000</v>
      </c>
      <c r="I55" s="2" t="str">
        <v>架空サンプル</v>
      </c>
      <c r="J55" s="2"/>
      <c r="K55" s="2"/>
      <c r="L55" s="2"/>
      <c r="M55" s="2"/>
    </row>
    <row r="56" ht="25" customHeight="1">
      <c r="A56" s="42" t="d">
        <v>2025-03-05T00:00:00.000Z</v>
      </c>
      <c r="B56" s="41" t="str">
        <v>木工所</v>
      </c>
      <c r="C56" s="41" t="str">
        <v>椅子</v>
      </c>
      <c r="D56" s="43" t="n">
        <v>11</v>
      </c>
      <c r="E56" s="43" t="n">
        <v>15000</v>
      </c>
      <c r="F56" s="43" t="n">
        <f>ROUND(D56*E56,0)</f>
        <v>165000</v>
      </c>
      <c r="G56" s="43" t="n">
        <v>118800</v>
      </c>
      <c r="H56" s="43" t="n">
        <f>F56-G56</f>
        <v>46200</v>
      </c>
      <c r="I56" s="41" t="str">
        <v>架空サンプル</v>
      </c>
    </row>
    <row r="57" ht="25" customHeight="1">
      <c r="A57" s="42" t="d">
        <v>2025-03-15T00:00:00.000Z</v>
      </c>
      <c r="B57" s="41" t="str">
        <v>木工所</v>
      </c>
      <c r="C57" s="41" t="str">
        <v>椅子</v>
      </c>
      <c r="D57" s="43" t="n">
        <v>16</v>
      </c>
      <c r="E57" s="43" t="n">
        <v>15000</v>
      </c>
      <c r="F57" s="43" t="n">
        <f>ROUND(D57*E57,0)</f>
        <v>240000</v>
      </c>
      <c r="G57" s="43" t="n">
        <v>172800</v>
      </c>
      <c r="H57" s="43" t="n">
        <f>F57-G57</f>
        <v>67200</v>
      </c>
      <c r="I57" s="41" t="str">
        <v>架空サンプル</v>
      </c>
    </row>
    <row r="58" ht="25" customHeight="1">
      <c r="A58" s="42" t="d">
        <v>2025-03-25T00:00:00.000Z</v>
      </c>
      <c r="B58" s="41" t="str">
        <v>木工所</v>
      </c>
      <c r="C58" s="41" t="str">
        <v>椅子</v>
      </c>
      <c r="D58" s="43" t="n">
        <v>4</v>
      </c>
      <c r="E58" s="43" t="n">
        <v>15000</v>
      </c>
      <c r="F58" s="43" t="n">
        <f>ROUND(D58*E58,0)</f>
        <v>60000</v>
      </c>
      <c r="G58" s="43" t="n">
        <v>43200</v>
      </c>
      <c r="H58" s="43" t="n">
        <f>F58-G58</f>
        <v>16800</v>
      </c>
      <c r="I58" s="41" t="str">
        <v>架空サンプル</v>
      </c>
    </row>
    <row r="59" ht="25" customHeight="1">
      <c r="A59" s="42" t="d">
        <v>2025-03-05T00:00:00.000Z</v>
      </c>
      <c r="B59" s="41" t="str">
        <v>木工所</v>
      </c>
      <c r="C59" s="41" t="str">
        <v>収納棚</v>
      </c>
      <c r="D59" s="43" t="n">
        <v>14</v>
      </c>
      <c r="E59" s="43" t="n">
        <v>35000</v>
      </c>
      <c r="F59" s="43" t="n">
        <f>ROUND(D59*E59,0)</f>
        <v>490000</v>
      </c>
      <c r="G59" s="43" t="n">
        <v>235200</v>
      </c>
      <c r="H59" s="43" t="n">
        <f>F59-G59</f>
        <v>254800</v>
      </c>
      <c r="I59" s="41" t="str">
        <v>架空サンプル</v>
      </c>
    </row>
    <row r="60" ht="25" customHeight="1">
      <c r="A60" s="42" t="d">
        <v>2025-03-15T00:00:00.000Z</v>
      </c>
      <c r="B60" s="41" t="str">
        <v>木工所</v>
      </c>
      <c r="C60" s="41" t="str">
        <v>収納棚</v>
      </c>
      <c r="D60" s="43" t="n">
        <v>2</v>
      </c>
      <c r="E60" s="43" t="n">
        <v>35000</v>
      </c>
      <c r="F60" s="43" t="n">
        <f>ROUND(D60*E60,0)</f>
        <v>70000</v>
      </c>
      <c r="G60" s="43" t="n">
        <v>33600</v>
      </c>
      <c r="H60" s="43" t="n">
        <f>F60-G60</f>
        <v>36400</v>
      </c>
      <c r="I60" s="41" t="str">
        <v>架空サンプル</v>
      </c>
    </row>
    <row r="61" ht="25" customHeight="1">
      <c r="A61" s="42" t="d">
        <v>2025-03-25T00:00:00.000Z</v>
      </c>
      <c r="B61" s="41" t="str">
        <v>木工所</v>
      </c>
      <c r="C61" s="41" t="str">
        <v>収納棚</v>
      </c>
      <c r="D61" s="43" t="n">
        <v>7</v>
      </c>
      <c r="E61" s="43" t="n">
        <v>35000</v>
      </c>
      <c r="F61" s="43" t="n">
        <f>ROUND(D61*E61,0)</f>
        <v>245000</v>
      </c>
      <c r="G61" s="43" t="n">
        <v>117600</v>
      </c>
      <c r="H61" s="43" t="n">
        <f>F61-G61</f>
        <v>127400</v>
      </c>
      <c r="I61" s="41" t="str">
        <v>架空サンプル</v>
      </c>
    </row>
    <row r="62" ht="25" customHeight="1">
      <c r="A62" s="42" t="d">
        <v>2025-03-05T00:00:00.000Z</v>
      </c>
      <c r="B62" s="41" t="str">
        <v>木工所</v>
      </c>
      <c r="C62" s="41" t="str">
        <v>木製小物</v>
      </c>
      <c r="D62" s="43" t="n">
        <v>17</v>
      </c>
      <c r="E62" s="43" t="n">
        <v>2500</v>
      </c>
      <c r="F62" s="43" t="n">
        <f>ROUND(D62*E62,0)</f>
        <v>42500</v>
      </c>
      <c r="G62" s="43" t="n">
        <v>22950</v>
      </c>
      <c r="H62" s="43" t="n">
        <f>F62-G62</f>
        <v>19550</v>
      </c>
      <c r="I62" s="41" t="str">
        <v>架空サンプル</v>
      </c>
    </row>
    <row r="63" ht="25" customHeight="1">
      <c r="A63" s="42" t="d">
        <v>2025-03-15T00:00:00.000Z</v>
      </c>
      <c r="B63" s="41" t="str">
        <v>木工所</v>
      </c>
      <c r="C63" s="41" t="str">
        <v>木製小物</v>
      </c>
      <c r="D63" s="43" t="n">
        <v>5</v>
      </c>
      <c r="E63" s="43" t="n">
        <v>2500</v>
      </c>
      <c r="F63" s="43" t="n">
        <f>ROUND(D63*E63,0)</f>
        <v>12500</v>
      </c>
      <c r="G63" s="43" t="n">
        <v>6750</v>
      </c>
      <c r="H63" s="43" t="n">
        <f>F63-G63</f>
        <v>5750</v>
      </c>
      <c r="I63" s="41" t="str">
        <v>架空サンプル</v>
      </c>
    </row>
    <row r="64" ht="25" customHeight="1">
      <c r="A64" s="42" t="d">
        <v>2025-03-25T00:00:00.000Z</v>
      </c>
      <c r="B64" s="41" t="str">
        <v>木工所</v>
      </c>
      <c r="C64" s="41" t="str">
        <v>木製小物</v>
      </c>
      <c r="D64" s="43" t="n">
        <v>10</v>
      </c>
      <c r="E64" s="43" t="n">
        <v>2500</v>
      </c>
      <c r="F64" s="43" t="n">
        <f>ROUND(D64*E64,0)</f>
        <v>25000</v>
      </c>
      <c r="G64" s="43" t="n">
        <v>13500</v>
      </c>
      <c r="H64" s="43" t="n">
        <f>F64-G64</f>
        <v>11500</v>
      </c>
      <c r="I64" s="41" t="str">
        <v>架空サンプル</v>
      </c>
    </row>
    <row r="65" ht="25" customHeight="1">
      <c r="A65" s="42" t="d">
        <v>2025-03-05T00:00:00.000Z</v>
      </c>
      <c r="B65" s="41" t="str">
        <v>農家</v>
      </c>
      <c r="C65" s="41" t="str">
        <v>野菜5kg箱</v>
      </c>
      <c r="D65" s="43" t="n">
        <v>21</v>
      </c>
      <c r="E65" s="43" t="n">
        <v>2000</v>
      </c>
      <c r="F65" s="43" t="n">
        <f>ROUND(D65*E65,0)</f>
        <v>42000</v>
      </c>
      <c r="G65" s="43" t="n">
        <v>25200</v>
      </c>
      <c r="H65" s="43" t="n">
        <f>F65-G65</f>
        <v>16800</v>
      </c>
      <c r="I65" s="41" t="str">
        <v>架空サンプル</v>
      </c>
    </row>
    <row r="66" ht="25" customHeight="1">
      <c r="A66" s="42" t="d">
        <v>2025-03-15T00:00:00.000Z</v>
      </c>
      <c r="B66" s="41" t="str">
        <v>農家</v>
      </c>
      <c r="C66" s="41" t="str">
        <v>野菜5kg箱</v>
      </c>
      <c r="D66" s="43" t="n">
        <v>26</v>
      </c>
      <c r="E66" s="43" t="n">
        <v>2000</v>
      </c>
      <c r="F66" s="43" t="n">
        <f>ROUND(D66*E66,0)</f>
        <v>52000</v>
      </c>
      <c r="G66" s="43" t="n">
        <v>31200</v>
      </c>
      <c r="H66" s="43" t="n">
        <f>F66-G66</f>
        <v>20800</v>
      </c>
      <c r="I66" s="41" t="str">
        <v>架空サンプル</v>
      </c>
    </row>
    <row r="67" ht="25" customHeight="1">
      <c r="A67" s="42" t="d">
        <v>2025-03-25T00:00:00.000Z</v>
      </c>
      <c r="B67" s="41" t="str">
        <v>農家</v>
      </c>
      <c r="C67" s="41" t="str">
        <v>野菜5kg箱</v>
      </c>
      <c r="D67" s="43" t="n">
        <v>31</v>
      </c>
      <c r="E67" s="43" t="n">
        <v>2000</v>
      </c>
      <c r="F67" s="43" t="n">
        <f>ROUND(D67*E67,0)</f>
        <v>62000</v>
      </c>
      <c r="G67" s="43" t="n">
        <v>37200</v>
      </c>
      <c r="H67" s="43" t="n">
        <f>F67-G67</f>
        <v>24800</v>
      </c>
      <c r="I67" s="41" t="str">
        <v>架空サンプル</v>
      </c>
    </row>
    <row r="68" ht="25" customHeight="1">
      <c r="A68" s="42" t="d">
        <v>2025-03-05T00:00:00.000Z</v>
      </c>
      <c r="B68" s="41" t="str">
        <v>農家</v>
      </c>
      <c r="C68" s="41" t="str">
        <v>トマト箱</v>
      </c>
      <c r="D68" s="43" t="n">
        <v>24</v>
      </c>
      <c r="E68" s="43" t="n">
        <v>1800</v>
      </c>
      <c r="F68" s="43" t="n">
        <f>ROUND(D68*E68,0)</f>
        <v>43200</v>
      </c>
      <c r="G68" s="43" t="n">
        <v>28512</v>
      </c>
      <c r="H68" s="43" t="n">
        <f>F68-G68</f>
        <v>14688</v>
      </c>
      <c r="I68" s="41" t="str">
        <v>架空サンプル</v>
      </c>
    </row>
    <row r="69" ht="25" customHeight="1">
      <c r="A69" s="42" t="d">
        <v>2025-03-15T00:00:00.000Z</v>
      </c>
      <c r="B69" s="41" t="str">
        <v>農家</v>
      </c>
      <c r="C69" s="41" t="str">
        <v>トマト箱</v>
      </c>
      <c r="D69" s="43" t="n">
        <v>29</v>
      </c>
      <c r="E69" s="43" t="n">
        <v>1800</v>
      </c>
      <c r="F69" s="43" t="n">
        <f>ROUND(D69*E69,0)</f>
        <v>52200</v>
      </c>
      <c r="G69" s="43" t="n">
        <v>34452</v>
      </c>
      <c r="H69" s="43" t="n">
        <f>F69-G69</f>
        <v>17748</v>
      </c>
      <c r="I69" s="41" t="str">
        <v>架空サンプル</v>
      </c>
    </row>
    <row r="70" ht="25" customHeight="1">
      <c r="A70" s="42" t="d">
        <v>2025-03-25T00:00:00.000Z</v>
      </c>
      <c r="B70" s="41" t="str">
        <v>農家</v>
      </c>
      <c r="C70" s="41" t="str">
        <v>トマト箱</v>
      </c>
      <c r="D70" s="43" t="n">
        <v>34</v>
      </c>
      <c r="E70" s="43" t="n">
        <v>1800</v>
      </c>
      <c r="F70" s="43" t="n">
        <f>ROUND(D70*E70,0)</f>
        <v>61200</v>
      </c>
      <c r="G70" s="43" t="n">
        <v>40392</v>
      </c>
      <c r="H70" s="43" t="n">
        <f>F70-G70</f>
        <v>20808</v>
      </c>
      <c r="I70" s="41" t="str">
        <v>架空サンプル</v>
      </c>
    </row>
    <row r="71" ht="25" customHeight="1">
      <c r="A71" s="42" t="d">
        <v>2025-03-05T00:00:00.000Z</v>
      </c>
      <c r="B71" s="41" t="str">
        <v>農家</v>
      </c>
      <c r="C71" s="41" t="str">
        <v>米5kg</v>
      </c>
      <c r="D71" s="43" t="n">
        <v>27</v>
      </c>
      <c r="E71" s="43" t="n">
        <v>3200</v>
      </c>
      <c r="F71" s="43" t="n">
        <f>ROUND(D71*E71,0)</f>
        <v>86400</v>
      </c>
      <c r="G71" s="43" t="n">
        <v>62208</v>
      </c>
      <c r="H71" s="43" t="n">
        <f>F71-G71</f>
        <v>24192</v>
      </c>
      <c r="I71" s="41" t="str">
        <v>架空サンプル</v>
      </c>
    </row>
    <row r="72" ht="25" customHeight="1">
      <c r="A72" s="42" t="d">
        <v>2025-03-15T00:00:00.000Z</v>
      </c>
      <c r="B72" s="41" t="str">
        <v>農家</v>
      </c>
      <c r="C72" s="41" t="str">
        <v>米5kg</v>
      </c>
      <c r="D72" s="43" t="n">
        <v>32</v>
      </c>
      <c r="E72" s="43" t="n">
        <v>3200</v>
      </c>
      <c r="F72" s="43" t="n">
        <f>ROUND(D72*E72,0)</f>
        <v>102400</v>
      </c>
      <c r="G72" s="43" t="n">
        <v>73728</v>
      </c>
      <c r="H72" s="43" t="n">
        <f>F72-G72</f>
        <v>28672</v>
      </c>
      <c r="I72" s="41" t="str">
        <v>架空サンプル</v>
      </c>
    </row>
    <row r="73" ht="25" customHeight="1">
      <c r="A73" s="42" t="d">
        <v>2025-03-25T00:00:00.000Z</v>
      </c>
      <c r="B73" s="41" t="str">
        <v>農家</v>
      </c>
      <c r="C73" s="41" t="str">
        <v>米5kg</v>
      </c>
      <c r="D73" s="43" t="n">
        <v>20</v>
      </c>
      <c r="E73" s="43" t="n">
        <v>3200</v>
      </c>
      <c r="F73" s="43" t="n">
        <f>ROUND(D73*E73,0)</f>
        <v>64000</v>
      </c>
      <c r="G73" s="43" t="n">
        <v>46080</v>
      </c>
      <c r="H73" s="43" t="n">
        <f>F73-G73</f>
        <v>17920</v>
      </c>
      <c r="I73" s="41" t="str">
        <v>架空サンプル</v>
      </c>
    </row>
    <row r="74" ht="25" customHeight="1">
      <c r="A74" s="42" t="d">
        <v>2025-03-05T00:00:00.000Z</v>
      </c>
      <c r="B74" s="41" t="str">
        <v>農家</v>
      </c>
      <c r="C74" s="41" t="str">
        <v>季節の果物</v>
      </c>
      <c r="D74" s="43" t="n">
        <v>30</v>
      </c>
      <c r="E74" s="43" t="n">
        <v>4000</v>
      </c>
      <c r="F74" s="43" t="n">
        <f>ROUND(D74*E74,0)</f>
        <v>120000</v>
      </c>
      <c r="G74" s="43" t="n">
        <v>57600</v>
      </c>
      <c r="H74" s="43" t="n">
        <f>F74-G74</f>
        <v>62400</v>
      </c>
      <c r="I74" s="41" t="str">
        <v>架空サンプル</v>
      </c>
    </row>
    <row r="75" ht="25" customHeight="1">
      <c r="A75" s="42" t="d">
        <v>2025-03-15T00:00:00.000Z</v>
      </c>
      <c r="B75" s="41" t="str">
        <v>農家</v>
      </c>
      <c r="C75" s="41" t="str">
        <v>季節の果物</v>
      </c>
      <c r="D75" s="43" t="n">
        <v>35</v>
      </c>
      <c r="E75" s="43" t="n">
        <v>4000</v>
      </c>
      <c r="F75" s="43" t="n">
        <f>ROUND(D75*E75,0)</f>
        <v>140000</v>
      </c>
      <c r="G75" s="43" t="n">
        <v>67200</v>
      </c>
      <c r="H75" s="43" t="n">
        <f>F75-G75</f>
        <v>72800</v>
      </c>
      <c r="I75" s="41" t="str">
        <v>架空サンプル</v>
      </c>
    </row>
    <row r="76" ht="25" customHeight="1">
      <c r="A76" s="42" t="d">
        <v>2025-03-25T00:00:00.000Z</v>
      </c>
      <c r="B76" s="41" t="str">
        <v>農家</v>
      </c>
      <c r="C76" s="41" t="str">
        <v>季節の果物</v>
      </c>
      <c r="D76" s="43" t="n">
        <v>23</v>
      </c>
      <c r="E76" s="43" t="n">
        <v>4000</v>
      </c>
      <c r="F76" s="43" t="n">
        <f>ROUND(D76*E76,0)</f>
        <v>92000</v>
      </c>
      <c r="G76" s="43" t="n">
        <v>44160</v>
      </c>
      <c r="H76" s="43" t="n">
        <f>F76-G76</f>
        <v>47840</v>
      </c>
      <c r="I76" s="41" t="str">
        <v>架空サンプル</v>
      </c>
    </row>
    <row r="77" ht="25" customHeight="1">
      <c r="A77" s="42" t="d">
        <v>2025-04-05T00:00:00.000Z</v>
      </c>
      <c r="B77" s="41" t="str">
        <v>木工所</v>
      </c>
      <c r="C77" s="41" t="str">
        <v>テーブル</v>
      </c>
      <c r="D77" s="43" t="n">
        <v>15</v>
      </c>
      <c r="E77" s="43" t="n">
        <v>50000</v>
      </c>
      <c r="F77" s="43" t="n">
        <f>ROUND(D77*E77,0)</f>
        <v>750000</v>
      </c>
      <c r="G77" s="43" t="n">
        <v>540000</v>
      </c>
      <c r="H77" s="43" t="n">
        <f>F77-G77</f>
        <v>210000</v>
      </c>
      <c r="I77" s="41" t="str">
        <v>架空サンプル</v>
      </c>
    </row>
    <row r="78" ht="25" customHeight="1">
      <c r="A78" s="42" t="d">
        <v>2025-04-15T00:00:00.000Z</v>
      </c>
      <c r="B78" s="41" t="str">
        <v>木工所</v>
      </c>
      <c r="C78" s="41" t="str">
        <v>テーブル</v>
      </c>
      <c r="D78" s="43" t="n">
        <v>3</v>
      </c>
      <c r="E78" s="43" t="n">
        <v>50000</v>
      </c>
      <c r="F78" s="43" t="n">
        <f>ROUND(D78*E78,0)</f>
        <v>150000</v>
      </c>
      <c r="G78" s="43" t="n">
        <v>108000</v>
      </c>
      <c r="H78" s="43" t="n">
        <f>F78-G78</f>
        <v>42000</v>
      </c>
      <c r="I78" s="41" t="str">
        <v>架空サンプル</v>
      </c>
    </row>
    <row r="79" ht="25" customHeight="1">
      <c r="A79" s="42" t="d">
        <v>2025-04-25T00:00:00.000Z</v>
      </c>
      <c r="B79" s="41" t="str">
        <v>木工所</v>
      </c>
      <c r="C79" s="41" t="str">
        <v>テーブル</v>
      </c>
      <c r="D79" s="43" t="n">
        <v>8</v>
      </c>
      <c r="E79" s="43" t="n">
        <v>50000</v>
      </c>
      <c r="F79" s="43" t="n">
        <f>ROUND(D79*E79,0)</f>
        <v>400000</v>
      </c>
      <c r="G79" s="43" t="n">
        <v>288000</v>
      </c>
      <c r="H79" s="43" t="n">
        <f>F79-G79</f>
        <v>112000</v>
      </c>
      <c r="I79" s="41" t="str">
        <v>架空サンプル</v>
      </c>
    </row>
    <row r="80" ht="25" customHeight="1">
      <c r="A80" s="42" t="d">
        <v>2025-04-05T00:00:00.000Z</v>
      </c>
      <c r="B80" s="41" t="str">
        <v>木工所</v>
      </c>
      <c r="C80" s="41" t="str">
        <v>椅子</v>
      </c>
      <c r="D80" s="43" t="n">
        <v>18</v>
      </c>
      <c r="E80" s="43" t="n">
        <v>15000</v>
      </c>
      <c r="F80" s="43" t="n">
        <f>ROUND(D80*E80,0)</f>
        <v>270000</v>
      </c>
      <c r="G80" s="43" t="n">
        <v>129600</v>
      </c>
      <c r="H80" s="43" t="n">
        <f>F80-G80</f>
        <v>140400</v>
      </c>
      <c r="I80" s="41" t="str">
        <v>架空サンプル</v>
      </c>
    </row>
    <row r="81" ht="25" customHeight="1">
      <c r="A81" s="42" t="d">
        <v>2025-04-15T00:00:00.000Z</v>
      </c>
      <c r="B81" s="41" t="str">
        <v>木工所</v>
      </c>
      <c r="C81" s="41" t="str">
        <v>椅子</v>
      </c>
      <c r="D81" s="43" t="n">
        <v>6</v>
      </c>
      <c r="E81" s="43" t="n">
        <v>15000</v>
      </c>
      <c r="F81" s="43" t="n">
        <f>ROUND(D81*E81,0)</f>
        <v>90000</v>
      </c>
      <c r="G81" s="43" t="n">
        <v>43200</v>
      </c>
      <c r="H81" s="43" t="n">
        <f>F81-G81</f>
        <v>46800</v>
      </c>
      <c r="I81" s="41" t="str">
        <v>架空サンプル</v>
      </c>
    </row>
    <row r="82" ht="25" customHeight="1">
      <c r="A82" s="42" t="d">
        <v>2025-04-25T00:00:00.000Z</v>
      </c>
      <c r="B82" s="41" t="str">
        <v>木工所</v>
      </c>
      <c r="C82" s="41" t="str">
        <v>椅子</v>
      </c>
      <c r="D82" s="43" t="n">
        <v>11</v>
      </c>
      <c r="E82" s="43" t="n">
        <v>15000</v>
      </c>
      <c r="F82" s="43" t="n">
        <f>ROUND(D82*E82,0)</f>
        <v>165000</v>
      </c>
      <c r="G82" s="43" t="n">
        <v>79200</v>
      </c>
      <c r="H82" s="43" t="n">
        <f>F82-G82</f>
        <v>85800</v>
      </c>
      <c r="I82" s="41" t="str">
        <v>架空サンプル</v>
      </c>
    </row>
    <row r="83" ht="25" customHeight="1">
      <c r="A83" s="42" t="d">
        <v>2025-04-05T00:00:00.000Z</v>
      </c>
      <c r="B83" s="41" t="str">
        <v>木工所</v>
      </c>
      <c r="C83" s="41" t="str">
        <v>収納棚</v>
      </c>
      <c r="D83" s="43" t="n">
        <v>4</v>
      </c>
      <c r="E83" s="43" t="n">
        <v>35000</v>
      </c>
      <c r="F83" s="43" t="n">
        <f>ROUND(D83*E83,0)</f>
        <v>140000</v>
      </c>
      <c r="G83" s="43" t="n">
        <v>75600</v>
      </c>
      <c r="H83" s="43" t="n">
        <f>F83-G83</f>
        <v>64400</v>
      </c>
      <c r="I83" s="41" t="str">
        <v>架空サンプル</v>
      </c>
    </row>
    <row r="84" ht="25" customHeight="1">
      <c r="A84" s="42" t="d">
        <v>2025-04-15T00:00:00.000Z</v>
      </c>
      <c r="B84" s="41" t="str">
        <v>木工所</v>
      </c>
      <c r="C84" s="41" t="str">
        <v>収納棚</v>
      </c>
      <c r="D84" s="43" t="n">
        <v>9</v>
      </c>
      <c r="E84" s="43" t="n">
        <v>35000</v>
      </c>
      <c r="F84" s="43" t="n">
        <f>ROUND(D84*E84,0)</f>
        <v>315000</v>
      </c>
      <c r="G84" s="43" t="n">
        <v>170100</v>
      </c>
      <c r="H84" s="43" t="n">
        <f>F84-G84</f>
        <v>144900</v>
      </c>
      <c r="I84" s="41" t="str">
        <v>架空サンプル</v>
      </c>
    </row>
    <row r="85" ht="25" customHeight="1">
      <c r="A85" s="42" t="d">
        <v>2025-04-25T00:00:00.000Z</v>
      </c>
      <c r="B85" s="41" t="str">
        <v>木工所</v>
      </c>
      <c r="C85" s="41" t="str">
        <v>収納棚</v>
      </c>
      <c r="D85" s="43" t="n">
        <v>14</v>
      </c>
      <c r="E85" s="43" t="n">
        <v>35000</v>
      </c>
      <c r="F85" s="43" t="n">
        <f>ROUND(D85*E85,0)</f>
        <v>490000</v>
      </c>
      <c r="G85" s="43" t="n">
        <v>264600</v>
      </c>
      <c r="H85" s="43" t="n">
        <f>F85-G85</f>
        <v>225400</v>
      </c>
      <c r="I85" s="41" t="str">
        <v>架空サンプル</v>
      </c>
    </row>
    <row r="86" ht="25" customHeight="1">
      <c r="A86" s="42" t="d">
        <v>2025-04-05T00:00:00.000Z</v>
      </c>
      <c r="B86" s="41" t="str">
        <v>木工所</v>
      </c>
      <c r="C86" s="41" t="str">
        <v>木製小物</v>
      </c>
      <c r="D86" s="43" t="n">
        <v>7</v>
      </c>
      <c r="E86" s="43" t="n">
        <v>2500</v>
      </c>
      <c r="F86" s="43" t="n">
        <f>ROUND(D86*E86,0)</f>
        <v>17500</v>
      </c>
      <c r="G86" s="43" t="n">
        <v>10500</v>
      </c>
      <c r="H86" s="43" t="n">
        <f>F86-G86</f>
        <v>7000</v>
      </c>
      <c r="I86" s="41" t="str">
        <v>架空サンプル</v>
      </c>
    </row>
    <row r="87" ht="25" customHeight="1">
      <c r="A87" s="42" t="d">
        <v>2025-04-15T00:00:00.000Z</v>
      </c>
      <c r="B87" s="41" t="str">
        <v>木工所</v>
      </c>
      <c r="C87" s="41" t="str">
        <v>木製小物</v>
      </c>
      <c r="D87" s="43" t="n">
        <v>12</v>
      </c>
      <c r="E87" s="43" t="n">
        <v>2500</v>
      </c>
      <c r="F87" s="43" t="n">
        <f>ROUND(D87*E87,0)</f>
        <v>30000</v>
      </c>
      <c r="G87" s="43" t="n">
        <v>18000</v>
      </c>
      <c r="H87" s="43" t="n">
        <f>F87-G87</f>
        <v>12000</v>
      </c>
      <c r="I87" s="41" t="str">
        <v>架空サンプル</v>
      </c>
    </row>
    <row r="88" ht="25" customHeight="1">
      <c r="A88" s="42" t="d">
        <v>2025-04-25T00:00:00.000Z</v>
      </c>
      <c r="B88" s="41" t="str">
        <v>木工所</v>
      </c>
      <c r="C88" s="41" t="str">
        <v>木製小物</v>
      </c>
      <c r="D88" s="43" t="n">
        <v>17</v>
      </c>
      <c r="E88" s="43" t="n">
        <v>2500</v>
      </c>
      <c r="F88" s="43" t="n">
        <f>ROUND(D88*E88,0)</f>
        <v>42500</v>
      </c>
      <c r="G88" s="43" t="n">
        <v>25500</v>
      </c>
      <c r="H88" s="43" t="n">
        <f>F88-G88</f>
        <v>17000</v>
      </c>
      <c r="I88" s="41" t="str">
        <v>架空サンプル</v>
      </c>
    </row>
    <row r="89" ht="25" customHeight="1">
      <c r="A89" s="42" t="d">
        <v>2025-04-05T00:00:00.000Z</v>
      </c>
      <c r="B89" s="41" t="str">
        <v>農家</v>
      </c>
      <c r="C89" s="41" t="str">
        <v>野菜5kg箱</v>
      </c>
      <c r="D89" s="43" t="n">
        <v>28</v>
      </c>
      <c r="E89" s="43" t="n">
        <v>2000</v>
      </c>
      <c r="F89" s="43" t="n">
        <f>ROUND(D89*E89,0)</f>
        <v>56000</v>
      </c>
      <c r="G89" s="43" t="n">
        <v>36960</v>
      </c>
      <c r="H89" s="43" t="n">
        <f>F89-G89</f>
        <v>19040</v>
      </c>
      <c r="I89" s="41" t="str">
        <v>架空サンプル</v>
      </c>
    </row>
    <row r="90" ht="25" customHeight="1">
      <c r="A90" s="42" t="d">
        <v>2025-04-15T00:00:00.000Z</v>
      </c>
      <c r="B90" s="41" t="str">
        <v>農家</v>
      </c>
      <c r="C90" s="41" t="str">
        <v>野菜5kg箱</v>
      </c>
      <c r="D90" s="43" t="n">
        <v>33</v>
      </c>
      <c r="E90" s="43" t="n">
        <v>2000</v>
      </c>
      <c r="F90" s="43" t="n">
        <f>ROUND(D90*E90,0)</f>
        <v>66000</v>
      </c>
      <c r="G90" s="43" t="n">
        <v>43560</v>
      </c>
      <c r="H90" s="43" t="n">
        <f>F90-G90</f>
        <v>22440</v>
      </c>
      <c r="I90" s="41" t="str">
        <v>架空サンプル</v>
      </c>
    </row>
    <row r="91" ht="25" customHeight="1">
      <c r="A91" s="42" t="d">
        <v>2025-04-25T00:00:00.000Z</v>
      </c>
      <c r="B91" s="41" t="str">
        <v>農家</v>
      </c>
      <c r="C91" s="41" t="str">
        <v>野菜5kg箱</v>
      </c>
      <c r="D91" s="43" t="n">
        <v>21</v>
      </c>
      <c r="E91" s="43" t="n">
        <v>2000</v>
      </c>
      <c r="F91" s="43" t="n">
        <f>ROUND(D91*E91,0)</f>
        <v>42000</v>
      </c>
      <c r="G91" s="43" t="n">
        <v>27720</v>
      </c>
      <c r="H91" s="43" t="n">
        <f>F91-G91</f>
        <v>14280</v>
      </c>
      <c r="I91" s="41" t="str">
        <v>架空サンプル</v>
      </c>
    </row>
    <row r="92" ht="25" customHeight="1">
      <c r="A92" s="42" t="d">
        <v>2025-04-05T00:00:00.000Z</v>
      </c>
      <c r="B92" s="41" t="str">
        <v>農家</v>
      </c>
      <c r="C92" s="41" t="str">
        <v>トマト箱</v>
      </c>
      <c r="D92" s="43" t="n">
        <v>31</v>
      </c>
      <c r="E92" s="43" t="n">
        <v>1800</v>
      </c>
      <c r="F92" s="43" t="n">
        <f>ROUND(D92*E92,0)</f>
        <v>55800</v>
      </c>
      <c r="G92" s="43" t="n">
        <v>40176</v>
      </c>
      <c r="H92" s="43" t="n">
        <f>F92-G92</f>
        <v>15624</v>
      </c>
      <c r="I92" s="41" t="str">
        <v>架空サンプル</v>
      </c>
    </row>
    <row r="93" ht="25" customHeight="1">
      <c r="A93" s="42" t="d">
        <v>2025-04-15T00:00:00.000Z</v>
      </c>
      <c r="B93" s="41" t="str">
        <v>農家</v>
      </c>
      <c r="C93" s="41" t="str">
        <v>トマト箱</v>
      </c>
      <c r="D93" s="43" t="n">
        <v>36</v>
      </c>
      <c r="E93" s="43" t="n">
        <v>1800</v>
      </c>
      <c r="F93" s="43" t="n">
        <f>ROUND(D93*E93,0)</f>
        <v>64800</v>
      </c>
      <c r="G93" s="43" t="n">
        <v>46656</v>
      </c>
      <c r="H93" s="43" t="n">
        <f>F93-G93</f>
        <v>18144</v>
      </c>
      <c r="I93" s="41" t="str">
        <v>架空サンプル</v>
      </c>
    </row>
    <row r="94" ht="25" customHeight="1">
      <c r="A94" s="42" t="d">
        <v>2025-04-25T00:00:00.000Z</v>
      </c>
      <c r="B94" s="41" t="str">
        <v>農家</v>
      </c>
      <c r="C94" s="41" t="str">
        <v>トマト箱</v>
      </c>
      <c r="D94" s="43" t="n">
        <v>24</v>
      </c>
      <c r="E94" s="43" t="n">
        <v>1800</v>
      </c>
      <c r="F94" s="43" t="n">
        <f>ROUND(D94*E94,0)</f>
        <v>43200</v>
      </c>
      <c r="G94" s="43" t="n">
        <v>31104</v>
      </c>
      <c r="H94" s="43" t="n">
        <f>F94-G94</f>
        <v>12096</v>
      </c>
      <c r="I94" s="41" t="str">
        <v>架空サンプル</v>
      </c>
    </row>
    <row r="95" ht="25" customHeight="1">
      <c r="A95" s="42" t="d">
        <v>2025-04-05T00:00:00.000Z</v>
      </c>
      <c r="B95" s="41" t="str">
        <v>農家</v>
      </c>
      <c r="C95" s="41" t="str">
        <v>米5kg</v>
      </c>
      <c r="D95" s="43" t="n">
        <v>34</v>
      </c>
      <c r="E95" s="43" t="n">
        <v>3200</v>
      </c>
      <c r="F95" s="43" t="n">
        <f>ROUND(D95*E95,0)</f>
        <v>108800</v>
      </c>
      <c r="G95" s="43" t="n">
        <v>52224</v>
      </c>
      <c r="H95" s="43" t="n">
        <f>F95-G95</f>
        <v>56576</v>
      </c>
      <c r="I95" s="41" t="str">
        <v>架空サンプル</v>
      </c>
    </row>
    <row r="96" ht="25" customHeight="1">
      <c r="A96" s="42" t="d">
        <v>2025-04-15T00:00:00.000Z</v>
      </c>
      <c r="B96" s="41" t="str">
        <v>農家</v>
      </c>
      <c r="C96" s="41" t="str">
        <v>米5kg</v>
      </c>
      <c r="D96" s="43" t="n">
        <v>22</v>
      </c>
      <c r="E96" s="43" t="n">
        <v>3200</v>
      </c>
      <c r="F96" s="43" t="n">
        <f>ROUND(D96*E96,0)</f>
        <v>70400</v>
      </c>
      <c r="G96" s="43" t="n">
        <v>33792</v>
      </c>
      <c r="H96" s="43" t="n">
        <f>F96-G96</f>
        <v>36608</v>
      </c>
      <c r="I96" s="41" t="str">
        <v>架空サンプル</v>
      </c>
    </row>
    <row r="97" ht="25" customHeight="1">
      <c r="A97" s="42" t="d">
        <v>2025-04-25T00:00:00.000Z</v>
      </c>
      <c r="B97" s="41" t="str">
        <v>農家</v>
      </c>
      <c r="C97" s="41" t="str">
        <v>米5kg</v>
      </c>
      <c r="D97" s="43" t="n">
        <v>27</v>
      </c>
      <c r="E97" s="43" t="n">
        <v>3200</v>
      </c>
      <c r="F97" s="43" t="n">
        <f>ROUND(D97*E97,0)</f>
        <v>86400</v>
      </c>
      <c r="G97" s="43" t="n">
        <v>41472</v>
      </c>
      <c r="H97" s="43" t="n">
        <f>F97-G97</f>
        <v>44928</v>
      </c>
      <c r="I97" s="41" t="str">
        <v>架空サンプル</v>
      </c>
    </row>
    <row r="98" ht="25" customHeight="1">
      <c r="A98" s="42" t="d">
        <v>2025-04-05T00:00:00.000Z</v>
      </c>
      <c r="B98" s="41" t="str">
        <v>農家</v>
      </c>
      <c r="C98" s="41" t="str">
        <v>季節の果物</v>
      </c>
      <c r="D98" s="43" t="n">
        <v>20</v>
      </c>
      <c r="E98" s="43" t="n">
        <v>4000</v>
      </c>
      <c r="F98" s="43" t="n">
        <f>ROUND(D98*E98,0)</f>
        <v>80000</v>
      </c>
      <c r="G98" s="43" t="n">
        <v>43200</v>
      </c>
      <c r="H98" s="43" t="n">
        <f>F98-G98</f>
        <v>36800</v>
      </c>
      <c r="I98" s="41" t="str">
        <v>架空サンプル</v>
      </c>
    </row>
    <row r="99" ht="25" customHeight="1">
      <c r="A99" s="42" t="d">
        <v>2025-04-15T00:00:00.000Z</v>
      </c>
      <c r="B99" s="41" t="str">
        <v>農家</v>
      </c>
      <c r="C99" s="41" t="str">
        <v>季節の果物</v>
      </c>
      <c r="D99" s="43" t="n">
        <v>25</v>
      </c>
      <c r="E99" s="43" t="n">
        <v>4000</v>
      </c>
      <c r="F99" s="43" t="n">
        <f>ROUND(D99*E99,0)</f>
        <v>100000</v>
      </c>
      <c r="G99" s="43" t="n">
        <v>54000</v>
      </c>
      <c r="H99" s="43" t="n">
        <f>F99-G99</f>
        <v>46000</v>
      </c>
      <c r="I99" s="41" t="str">
        <v>架空サンプル</v>
      </c>
    </row>
    <row r="100" ht="25" customHeight="1">
      <c r="A100" s="42" t="d">
        <v>2025-04-25T00:00:00.000Z</v>
      </c>
      <c r="B100" s="41" t="str">
        <v>農家</v>
      </c>
      <c r="C100" s="41" t="str">
        <v>季節の果物</v>
      </c>
      <c r="D100" s="43" t="n">
        <v>30</v>
      </c>
      <c r="E100" s="43" t="n">
        <v>4000</v>
      </c>
      <c r="F100" s="43" t="n">
        <f>ROUND(D100*E100,0)</f>
        <v>120000</v>
      </c>
      <c r="G100" s="43" t="n">
        <v>64800</v>
      </c>
      <c r="H100" s="43" t="n">
        <f>F100-G100</f>
        <v>55200</v>
      </c>
      <c r="I100" s="41" t="str">
        <v>架空サンプル</v>
      </c>
    </row>
    <row r="101" ht="25" customHeight="1">
      <c r="A101" s="42" t="d">
        <v>2025-05-05T00:00:00.000Z</v>
      </c>
      <c r="B101" s="41" t="str">
        <v>木工所</v>
      </c>
      <c r="C101" s="41" t="str">
        <v>テーブル</v>
      </c>
      <c r="D101" s="43" t="n">
        <v>5</v>
      </c>
      <c r="E101" s="43" t="n">
        <v>50000</v>
      </c>
      <c r="F101" s="43" t="n">
        <f>ROUND(D101*E101,0)</f>
        <v>250000</v>
      </c>
      <c r="G101" s="43" t="n">
        <v>120000</v>
      </c>
      <c r="H101" s="43" t="n">
        <f>F101-G101</f>
        <v>130000</v>
      </c>
      <c r="I101" s="41" t="str">
        <v>架空サンプル</v>
      </c>
    </row>
    <row r="102" ht="25" customHeight="1">
      <c r="A102" s="42" t="d">
        <v>2025-05-15T00:00:00.000Z</v>
      </c>
      <c r="B102" s="41" t="str">
        <v>木工所</v>
      </c>
      <c r="C102" s="41" t="str">
        <v>テーブル</v>
      </c>
      <c r="D102" s="43" t="n">
        <v>10</v>
      </c>
      <c r="E102" s="43" t="n">
        <v>50000</v>
      </c>
      <c r="F102" s="43" t="n">
        <f>ROUND(D102*E102,0)</f>
        <v>500000</v>
      </c>
      <c r="G102" s="43" t="n">
        <v>240000</v>
      </c>
      <c r="H102" s="43" t="n">
        <f>F102-G102</f>
        <v>260000</v>
      </c>
      <c r="I102" s="41" t="str">
        <v>架空サンプル</v>
      </c>
    </row>
    <row r="103" ht="25" customHeight="1">
      <c r="A103" s="42" t="d">
        <v>2025-05-25T00:00:00.000Z</v>
      </c>
      <c r="B103" s="41" t="str">
        <v>木工所</v>
      </c>
      <c r="C103" s="41" t="str">
        <v>テーブル</v>
      </c>
      <c r="D103" s="43" t="n">
        <v>15</v>
      </c>
      <c r="E103" s="43" t="n">
        <v>50000</v>
      </c>
      <c r="F103" s="43" t="n">
        <f>ROUND(D103*E103,0)</f>
        <v>750000</v>
      </c>
      <c r="G103" s="43" t="n">
        <v>360000</v>
      </c>
      <c r="H103" s="43" t="n">
        <f>F103-G103</f>
        <v>390000</v>
      </c>
      <c r="I103" s="41" t="str">
        <v>架空サンプル</v>
      </c>
    </row>
    <row r="104" ht="25" customHeight="1">
      <c r="A104" s="42" t="d">
        <v>2025-05-05T00:00:00.000Z</v>
      </c>
      <c r="B104" s="41" t="str">
        <v>木工所</v>
      </c>
      <c r="C104" s="41" t="str">
        <v>椅子</v>
      </c>
      <c r="D104" s="43" t="n">
        <v>8</v>
      </c>
      <c r="E104" s="43" t="n">
        <v>15000</v>
      </c>
      <c r="F104" s="43" t="n">
        <f>ROUND(D104*E104,0)</f>
        <v>120000</v>
      </c>
      <c r="G104" s="43" t="n">
        <v>64800</v>
      </c>
      <c r="H104" s="43" t="n">
        <f>F104-G104</f>
        <v>55200</v>
      </c>
      <c r="I104" s="41" t="str">
        <v>架空サンプル</v>
      </c>
    </row>
    <row r="105" ht="25" customHeight="1">
      <c r="A105" s="42" t="d">
        <v>2025-05-15T00:00:00.000Z</v>
      </c>
      <c r="B105" s="41" t="str">
        <v>木工所</v>
      </c>
      <c r="C105" s="41" t="str">
        <v>椅子</v>
      </c>
      <c r="D105" s="43" t="n">
        <v>13</v>
      </c>
      <c r="E105" s="43" t="n">
        <v>15000</v>
      </c>
      <c r="F105" s="43" t="n">
        <f>ROUND(D105*E105,0)</f>
        <v>195000</v>
      </c>
      <c r="G105" s="43" t="n">
        <v>105300</v>
      </c>
      <c r="H105" s="43" t="n">
        <f>F105-G105</f>
        <v>89700</v>
      </c>
      <c r="I105" s="41" t="str">
        <v>架空サンプル</v>
      </c>
    </row>
    <row r="106" ht="25" customHeight="1">
      <c r="A106" s="42" t="d">
        <v>2025-05-25T00:00:00.000Z</v>
      </c>
      <c r="B106" s="41" t="str">
        <v>木工所</v>
      </c>
      <c r="C106" s="41" t="str">
        <v>椅子</v>
      </c>
      <c r="D106" s="43" t="n">
        <v>18</v>
      </c>
      <c r="E106" s="43" t="n">
        <v>15000</v>
      </c>
      <c r="F106" s="43" t="n">
        <f>ROUND(D106*E106,0)</f>
        <v>270000</v>
      </c>
      <c r="G106" s="43" t="n">
        <v>145800</v>
      </c>
      <c r="H106" s="43" t="n">
        <f>F106-G106</f>
        <v>124200</v>
      </c>
      <c r="I106" s="41" t="str">
        <v>架空サンプル</v>
      </c>
    </row>
    <row r="107" ht="25" customHeight="1">
      <c r="A107" s="42" t="d">
        <v>2025-05-05T00:00:00.000Z</v>
      </c>
      <c r="B107" s="41" t="str">
        <v>木工所</v>
      </c>
      <c r="C107" s="41" t="str">
        <v>収納棚</v>
      </c>
      <c r="D107" s="43" t="n">
        <v>11</v>
      </c>
      <c r="E107" s="43" t="n">
        <v>35000</v>
      </c>
      <c r="F107" s="43" t="n">
        <f>ROUND(D107*E107,0)</f>
        <v>385000</v>
      </c>
      <c r="G107" s="43" t="n">
        <v>231000</v>
      </c>
      <c r="H107" s="43" t="n">
        <f>F107-G107</f>
        <v>154000</v>
      </c>
      <c r="I107" s="41" t="str">
        <v>架空サンプル</v>
      </c>
    </row>
    <row r="108" ht="25" customHeight="1">
      <c r="A108" s="42" t="d">
        <v>2025-05-15T00:00:00.000Z</v>
      </c>
      <c r="B108" s="41" t="str">
        <v>木工所</v>
      </c>
      <c r="C108" s="41" t="str">
        <v>収納棚</v>
      </c>
      <c r="D108" s="43" t="n">
        <v>16</v>
      </c>
      <c r="E108" s="43" t="n">
        <v>35000</v>
      </c>
      <c r="F108" s="43" t="n">
        <f>ROUND(D108*E108,0)</f>
        <v>560000</v>
      </c>
      <c r="G108" s="43" t="n">
        <v>336000</v>
      </c>
      <c r="H108" s="43" t="n">
        <f>F108-G108</f>
        <v>224000</v>
      </c>
      <c r="I108" s="41" t="str">
        <v>架空サンプル</v>
      </c>
    </row>
    <row r="109" ht="25" customHeight="1">
      <c r="A109" s="42" t="d">
        <v>2025-05-25T00:00:00.000Z</v>
      </c>
      <c r="B109" s="41" t="str">
        <v>木工所</v>
      </c>
      <c r="C109" s="41" t="str">
        <v>収納棚</v>
      </c>
      <c r="D109" s="43" t="n">
        <v>4</v>
      </c>
      <c r="E109" s="43" t="n">
        <v>35000</v>
      </c>
      <c r="F109" s="43" t="n">
        <f>ROUND(D109*E109,0)</f>
        <v>140000</v>
      </c>
      <c r="G109" s="43" t="n">
        <v>84000</v>
      </c>
      <c r="H109" s="43" t="n">
        <f>F109-G109</f>
        <v>56000</v>
      </c>
      <c r="I109" s="41" t="str">
        <v>架空サンプル</v>
      </c>
    </row>
    <row r="110" ht="25" customHeight="1">
      <c r="A110" s="42" t="d">
        <v>2025-05-05T00:00:00.000Z</v>
      </c>
      <c r="B110" s="41" t="str">
        <v>木工所</v>
      </c>
      <c r="C110" s="41" t="str">
        <v>木製小物</v>
      </c>
      <c r="D110" s="43" t="n">
        <v>14</v>
      </c>
      <c r="E110" s="43" t="n">
        <v>2500</v>
      </c>
      <c r="F110" s="43" t="n">
        <f>ROUND(D110*E110,0)</f>
        <v>35000</v>
      </c>
      <c r="G110" s="43" t="n">
        <v>23100</v>
      </c>
      <c r="H110" s="43" t="n">
        <f>F110-G110</f>
        <v>11900</v>
      </c>
      <c r="I110" s="41" t="str">
        <v>架空サンプル</v>
      </c>
    </row>
    <row r="111" ht="25" customHeight="1">
      <c r="A111" s="42" t="d">
        <v>2025-05-15T00:00:00.000Z</v>
      </c>
      <c r="B111" s="41" t="str">
        <v>木工所</v>
      </c>
      <c r="C111" s="41" t="str">
        <v>木製小物</v>
      </c>
      <c r="D111" s="43" t="n">
        <v>2</v>
      </c>
      <c r="E111" s="43" t="n">
        <v>2500</v>
      </c>
      <c r="F111" s="43" t="n">
        <f>ROUND(D111*E111,0)</f>
        <v>5000</v>
      </c>
      <c r="G111" s="43" t="n">
        <v>3300</v>
      </c>
      <c r="H111" s="43" t="n">
        <f>F111-G111</f>
        <v>1700</v>
      </c>
      <c r="I111" s="41" t="str">
        <v>架空サンプル</v>
      </c>
    </row>
    <row r="112" ht="25" customHeight="1">
      <c r="A112" s="42" t="d">
        <v>2025-05-25T00:00:00.000Z</v>
      </c>
      <c r="B112" s="41" t="str">
        <v>木工所</v>
      </c>
      <c r="C112" s="41" t="str">
        <v>木製小物</v>
      </c>
      <c r="D112" s="43" t="n">
        <v>7</v>
      </c>
      <c r="E112" s="43" t="n">
        <v>2500</v>
      </c>
      <c r="F112" s="43" t="n">
        <f>ROUND(D112*E112,0)</f>
        <v>17500</v>
      </c>
      <c r="G112" s="43" t="n">
        <v>11550</v>
      </c>
      <c r="H112" s="43" t="n">
        <f>F112-G112</f>
        <v>5950</v>
      </c>
      <c r="I112" s="41" t="str">
        <v>架空サンプル</v>
      </c>
    </row>
    <row r="113" ht="25" customHeight="1">
      <c r="A113" s="42" t="d">
        <v>2025-05-05T00:00:00.000Z</v>
      </c>
      <c r="B113" s="41" t="str">
        <v>農家</v>
      </c>
      <c r="C113" s="41" t="str">
        <v>野菜5kg箱</v>
      </c>
      <c r="D113" s="43" t="n">
        <v>35</v>
      </c>
      <c r="E113" s="43" t="n">
        <v>2000</v>
      </c>
      <c r="F113" s="43" t="n">
        <f>ROUND(D113*E113,0)</f>
        <v>70000</v>
      </c>
      <c r="G113" s="43" t="n">
        <v>50400</v>
      </c>
      <c r="H113" s="43" t="n">
        <f>F113-G113</f>
        <v>19600</v>
      </c>
      <c r="I113" s="41" t="str">
        <v>架空サンプル</v>
      </c>
    </row>
    <row r="114" ht="25" customHeight="1">
      <c r="A114" s="42" t="d">
        <v>2025-05-15T00:00:00.000Z</v>
      </c>
      <c r="B114" s="41" t="str">
        <v>農家</v>
      </c>
      <c r="C114" s="41" t="str">
        <v>野菜5kg箱</v>
      </c>
      <c r="D114" s="43" t="n">
        <v>23</v>
      </c>
      <c r="E114" s="43" t="n">
        <v>2000</v>
      </c>
      <c r="F114" s="43" t="n">
        <f>ROUND(D114*E114,0)</f>
        <v>46000</v>
      </c>
      <c r="G114" s="43" t="n">
        <v>33120</v>
      </c>
      <c r="H114" s="43" t="n">
        <f>F114-G114</f>
        <v>12880</v>
      </c>
      <c r="I114" s="41" t="str">
        <v>架空サンプル</v>
      </c>
    </row>
    <row r="115" ht="25" customHeight="1">
      <c r="A115" s="42" t="d">
        <v>2025-05-25T00:00:00.000Z</v>
      </c>
      <c r="B115" s="41" t="str">
        <v>農家</v>
      </c>
      <c r="C115" s="41" t="str">
        <v>野菜5kg箱</v>
      </c>
      <c r="D115" s="43" t="n">
        <v>28</v>
      </c>
      <c r="E115" s="43" t="n">
        <v>2000</v>
      </c>
      <c r="F115" s="43" t="n">
        <f>ROUND(D115*E115,0)</f>
        <v>56000</v>
      </c>
      <c r="G115" s="43" t="n">
        <v>40320</v>
      </c>
      <c r="H115" s="43" t="n">
        <f>F115-G115</f>
        <v>15680</v>
      </c>
      <c r="I115" s="41" t="str">
        <v>架空サンプル</v>
      </c>
    </row>
    <row r="116" ht="25" customHeight="1">
      <c r="A116" s="42" t="d">
        <v>2025-05-05T00:00:00.000Z</v>
      </c>
      <c r="B116" s="41" t="str">
        <v>農家</v>
      </c>
      <c r="C116" s="41" t="str">
        <v>トマト箱</v>
      </c>
      <c r="D116" s="43" t="n">
        <v>21</v>
      </c>
      <c r="E116" s="43" t="n">
        <v>1800</v>
      </c>
      <c r="F116" s="43" t="n">
        <f>ROUND(D116*E116,0)</f>
        <v>37800</v>
      </c>
      <c r="G116" s="43" t="n">
        <v>18144</v>
      </c>
      <c r="H116" s="43" t="n">
        <f>F116-G116</f>
        <v>19656</v>
      </c>
      <c r="I116" s="41" t="str">
        <v>架空サンプル</v>
      </c>
    </row>
    <row r="117" ht="25" customHeight="1">
      <c r="A117" s="42" t="d">
        <v>2025-05-15T00:00:00.000Z</v>
      </c>
      <c r="B117" s="41" t="str">
        <v>農家</v>
      </c>
      <c r="C117" s="41" t="str">
        <v>トマト箱</v>
      </c>
      <c r="D117" s="43" t="n">
        <v>26</v>
      </c>
      <c r="E117" s="43" t="n">
        <v>1800</v>
      </c>
      <c r="F117" s="43" t="n">
        <f>ROUND(D117*E117,0)</f>
        <v>46800</v>
      </c>
      <c r="G117" s="43" t="n">
        <v>22464</v>
      </c>
      <c r="H117" s="43" t="n">
        <f>F117-G117</f>
        <v>24336</v>
      </c>
      <c r="I117" s="41" t="str">
        <v>架空サンプル</v>
      </c>
    </row>
    <row r="118" ht="25" customHeight="1">
      <c r="A118" s="42" t="d">
        <v>2025-05-25T00:00:00.000Z</v>
      </c>
      <c r="B118" s="41" t="str">
        <v>農家</v>
      </c>
      <c r="C118" s="41" t="str">
        <v>トマト箱</v>
      </c>
      <c r="D118" s="43" t="n">
        <v>31</v>
      </c>
      <c r="E118" s="43" t="n">
        <v>1800</v>
      </c>
      <c r="F118" s="43" t="n">
        <f>ROUND(D118*E118,0)</f>
        <v>55800</v>
      </c>
      <c r="G118" s="43" t="n">
        <v>26784</v>
      </c>
      <c r="H118" s="43" t="n">
        <f>F118-G118</f>
        <v>29016</v>
      </c>
      <c r="I118" s="41" t="str">
        <v>架空サンプル</v>
      </c>
    </row>
    <row r="119" ht="25" customHeight="1">
      <c r="A119" s="42" t="d">
        <v>2025-05-05T00:00:00.000Z</v>
      </c>
      <c r="B119" s="41" t="str">
        <v>農家</v>
      </c>
      <c r="C119" s="41" t="str">
        <v>米5kg</v>
      </c>
      <c r="D119" s="43" t="n">
        <v>24</v>
      </c>
      <c r="E119" s="43" t="n">
        <v>3200</v>
      </c>
      <c r="F119" s="43" t="n">
        <f>ROUND(D119*E119,0)</f>
        <v>76800</v>
      </c>
      <c r="G119" s="43" t="n">
        <v>41472</v>
      </c>
      <c r="H119" s="43" t="n">
        <f>F119-G119</f>
        <v>35328</v>
      </c>
      <c r="I119" s="41" t="str">
        <v>架空サンプル</v>
      </c>
    </row>
    <row r="120" ht="25" customHeight="1">
      <c r="A120" s="42" t="d">
        <v>2025-05-15T00:00:00.000Z</v>
      </c>
      <c r="B120" s="41" t="str">
        <v>農家</v>
      </c>
      <c r="C120" s="41" t="str">
        <v>米5kg</v>
      </c>
      <c r="D120" s="43" t="n">
        <v>29</v>
      </c>
      <c r="E120" s="43" t="n">
        <v>3200</v>
      </c>
      <c r="F120" s="43" t="n">
        <f>ROUND(D120*E120,0)</f>
        <v>92800</v>
      </c>
      <c r="G120" s="43" t="n">
        <v>50112</v>
      </c>
      <c r="H120" s="43" t="n">
        <f>F120-G120</f>
        <v>42688</v>
      </c>
      <c r="I120" s="41" t="str">
        <v>架空サンプル</v>
      </c>
    </row>
    <row r="121" ht="25" customHeight="1">
      <c r="A121" s="42" t="d">
        <v>2025-05-25T00:00:00.000Z</v>
      </c>
      <c r="B121" s="41" t="str">
        <v>農家</v>
      </c>
      <c r="C121" s="41" t="str">
        <v>米5kg</v>
      </c>
      <c r="D121" s="43" t="n">
        <v>34</v>
      </c>
      <c r="E121" s="43" t="n">
        <v>3200</v>
      </c>
      <c r="F121" s="43" t="n">
        <f>ROUND(D121*E121,0)</f>
        <v>108800</v>
      </c>
      <c r="G121" s="43" t="n">
        <v>58752</v>
      </c>
      <c r="H121" s="43" t="n">
        <f>F121-G121</f>
        <v>50048</v>
      </c>
      <c r="I121" s="41" t="str">
        <v>架空サンプル</v>
      </c>
    </row>
    <row r="122" ht="25" customHeight="1">
      <c r="A122" s="42" t="d">
        <v>2025-05-05T00:00:00.000Z</v>
      </c>
      <c r="B122" s="41" t="str">
        <v>農家</v>
      </c>
      <c r="C122" s="41" t="str">
        <v>季節の果物</v>
      </c>
      <c r="D122" s="43" t="n">
        <v>27</v>
      </c>
      <c r="E122" s="43" t="n">
        <v>4000</v>
      </c>
      <c r="F122" s="43" t="n">
        <f>ROUND(D122*E122,0)</f>
        <v>108000</v>
      </c>
      <c r="G122" s="43" t="n">
        <v>64800</v>
      </c>
      <c r="H122" s="43" t="n">
        <f>F122-G122</f>
        <v>43200</v>
      </c>
      <c r="I122" s="41" t="str">
        <v>架空サンプル</v>
      </c>
    </row>
    <row r="123" ht="25" customHeight="1">
      <c r="A123" s="42" t="d">
        <v>2025-05-15T00:00:00.000Z</v>
      </c>
      <c r="B123" s="41" t="str">
        <v>農家</v>
      </c>
      <c r="C123" s="41" t="str">
        <v>季節の果物</v>
      </c>
      <c r="D123" s="43" t="n">
        <v>32</v>
      </c>
      <c r="E123" s="43" t="n">
        <v>4000</v>
      </c>
      <c r="F123" s="43" t="n">
        <f>ROUND(D123*E123,0)</f>
        <v>128000</v>
      </c>
      <c r="G123" s="43" t="n">
        <v>76800</v>
      </c>
      <c r="H123" s="43" t="n">
        <f>F123-G123</f>
        <v>51200</v>
      </c>
      <c r="I123" s="41" t="str">
        <v>架空サンプル</v>
      </c>
    </row>
    <row r="124" ht="25" customHeight="1">
      <c r="A124" s="42" t="d">
        <v>2025-05-25T00:00:00.000Z</v>
      </c>
      <c r="B124" s="41" t="str">
        <v>農家</v>
      </c>
      <c r="C124" s="41" t="str">
        <v>季節の果物</v>
      </c>
      <c r="D124" s="43" t="n">
        <v>20</v>
      </c>
      <c r="E124" s="43" t="n">
        <v>4000</v>
      </c>
      <c r="F124" s="43" t="n">
        <f>ROUND(D124*E124,0)</f>
        <v>80000</v>
      </c>
      <c r="G124" s="43" t="n">
        <v>48000</v>
      </c>
      <c r="H124" s="43" t="n">
        <f>F124-G124</f>
        <v>32000</v>
      </c>
      <c r="I124" s="41" t="str">
        <v>架空サンプル</v>
      </c>
    </row>
    <row r="125" ht="25" customHeight="1">
      <c r="A125" s="42" t="d">
        <v>2025-06-05T00:00:00.000Z</v>
      </c>
      <c r="B125" s="41" t="str">
        <v>木工所</v>
      </c>
      <c r="C125" s="41" t="str">
        <v>テーブル</v>
      </c>
      <c r="D125" s="43" t="n">
        <v>12</v>
      </c>
      <c r="E125" s="43" t="n">
        <v>50000</v>
      </c>
      <c r="F125" s="43" t="n">
        <f>ROUND(D125*E125,0)</f>
        <v>600000</v>
      </c>
      <c r="G125" s="43" t="n">
        <v>324000</v>
      </c>
      <c r="H125" s="43" t="n">
        <f>F125-G125</f>
        <v>276000</v>
      </c>
      <c r="I125" s="41" t="str">
        <v>架空サンプル</v>
      </c>
    </row>
    <row r="126" ht="25" customHeight="1">
      <c r="A126" s="42" t="d">
        <v>2025-06-15T00:00:00.000Z</v>
      </c>
      <c r="B126" s="41" t="str">
        <v>木工所</v>
      </c>
      <c r="C126" s="41" t="str">
        <v>テーブル</v>
      </c>
      <c r="D126" s="43" t="n">
        <v>17</v>
      </c>
      <c r="E126" s="43" t="n">
        <v>50000</v>
      </c>
      <c r="F126" s="43" t="n">
        <f>ROUND(D126*E126,0)</f>
        <v>850000</v>
      </c>
      <c r="G126" s="43" t="n">
        <v>459000</v>
      </c>
      <c r="H126" s="43" t="n">
        <f>F126-G126</f>
        <v>391000</v>
      </c>
      <c r="I126" s="41" t="str">
        <v>架空サンプル</v>
      </c>
    </row>
    <row r="127" ht="25" customHeight="1">
      <c r="A127" s="42" t="d">
        <v>2025-06-25T00:00:00.000Z</v>
      </c>
      <c r="B127" s="41" t="str">
        <v>木工所</v>
      </c>
      <c r="C127" s="41" t="str">
        <v>テーブル</v>
      </c>
      <c r="D127" s="43" t="n">
        <v>5</v>
      </c>
      <c r="E127" s="43" t="n">
        <v>50000</v>
      </c>
      <c r="F127" s="43" t="n">
        <f>ROUND(D127*E127,0)</f>
        <v>250000</v>
      </c>
      <c r="G127" s="43" t="n">
        <v>135000</v>
      </c>
      <c r="H127" s="43" t="n">
        <f>F127-G127</f>
        <v>115000</v>
      </c>
      <c r="I127" s="41" t="str">
        <v>架空サンプル</v>
      </c>
    </row>
    <row r="128" ht="25" customHeight="1">
      <c r="A128" s="42" t="d">
        <v>2025-06-05T00:00:00.000Z</v>
      </c>
      <c r="B128" s="41" t="str">
        <v>木工所</v>
      </c>
      <c r="C128" s="41" t="str">
        <v>椅子</v>
      </c>
      <c r="D128" s="43" t="n">
        <v>15</v>
      </c>
      <c r="E128" s="43" t="n">
        <v>15000</v>
      </c>
      <c r="F128" s="43" t="n">
        <f>ROUND(D128*E128,0)</f>
        <v>225000</v>
      </c>
      <c r="G128" s="43" t="n">
        <v>135000</v>
      </c>
      <c r="H128" s="43" t="n">
        <f>F128-G128</f>
        <v>90000</v>
      </c>
      <c r="I128" s="41" t="str">
        <v>架空サンプル</v>
      </c>
    </row>
    <row r="129" ht="25" customHeight="1">
      <c r="A129" s="42" t="d">
        <v>2025-06-15T00:00:00.000Z</v>
      </c>
      <c r="B129" s="41" t="str">
        <v>木工所</v>
      </c>
      <c r="C129" s="41" t="str">
        <v>椅子</v>
      </c>
      <c r="D129" s="43" t="n">
        <v>3</v>
      </c>
      <c r="E129" s="43" t="n">
        <v>15000</v>
      </c>
      <c r="F129" s="43" t="n">
        <f>ROUND(D129*E129,0)</f>
        <v>45000</v>
      </c>
      <c r="G129" s="43" t="n">
        <v>27000</v>
      </c>
      <c r="H129" s="43" t="n">
        <f>F129-G129</f>
        <v>18000</v>
      </c>
      <c r="I129" s="41" t="str">
        <v>架空サンプル</v>
      </c>
    </row>
    <row r="130" ht="25" customHeight="1">
      <c r="A130" s="42" t="d">
        <v>2025-06-25T00:00:00.000Z</v>
      </c>
      <c r="B130" s="41" t="str">
        <v>木工所</v>
      </c>
      <c r="C130" s="41" t="str">
        <v>椅子</v>
      </c>
      <c r="D130" s="43" t="n">
        <v>8</v>
      </c>
      <c r="E130" s="43" t="n">
        <v>15000</v>
      </c>
      <c r="F130" s="43" t="n">
        <f>ROUND(D130*E130,0)</f>
        <v>120000</v>
      </c>
      <c r="G130" s="43" t="n">
        <v>72000</v>
      </c>
      <c r="H130" s="43" t="n">
        <f>F130-G130</f>
        <v>48000</v>
      </c>
      <c r="I130" s="41" t="str">
        <v>架空サンプル</v>
      </c>
    </row>
    <row r="131" ht="25" customHeight="1">
      <c r="A131" s="42" t="d">
        <v>2025-06-05T00:00:00.000Z</v>
      </c>
      <c r="B131" s="41" t="str">
        <v>木工所</v>
      </c>
      <c r="C131" s="41" t="str">
        <v>収納棚</v>
      </c>
      <c r="D131" s="43" t="n">
        <v>18</v>
      </c>
      <c r="E131" s="43" t="n">
        <v>35000</v>
      </c>
      <c r="F131" s="43" t="n">
        <f>ROUND(D131*E131,0)</f>
        <v>630000</v>
      </c>
      <c r="G131" s="43" t="n">
        <v>415800</v>
      </c>
      <c r="H131" s="43" t="n">
        <f>F131-G131</f>
        <v>214200</v>
      </c>
      <c r="I131" s="41" t="str">
        <v>架空サンプル</v>
      </c>
    </row>
    <row r="132" ht="25" customHeight="1">
      <c r="A132" s="42" t="d">
        <v>2025-06-15T00:00:00.000Z</v>
      </c>
      <c r="B132" s="41" t="str">
        <v>木工所</v>
      </c>
      <c r="C132" s="41" t="str">
        <v>収納棚</v>
      </c>
      <c r="D132" s="43" t="n">
        <v>6</v>
      </c>
      <c r="E132" s="43" t="n">
        <v>35000</v>
      </c>
      <c r="F132" s="43" t="n">
        <f>ROUND(D132*E132,0)</f>
        <v>210000</v>
      </c>
      <c r="G132" s="43" t="n">
        <v>138600</v>
      </c>
      <c r="H132" s="43" t="n">
        <f>F132-G132</f>
        <v>71400</v>
      </c>
      <c r="I132" s="41" t="str">
        <v>架空サンプル</v>
      </c>
    </row>
    <row r="133" ht="25" customHeight="1">
      <c r="A133" s="42" t="d">
        <v>2025-06-25T00:00:00.000Z</v>
      </c>
      <c r="B133" s="41" t="str">
        <v>木工所</v>
      </c>
      <c r="C133" s="41" t="str">
        <v>収納棚</v>
      </c>
      <c r="D133" s="43" t="n">
        <v>11</v>
      </c>
      <c r="E133" s="43" t="n">
        <v>35000</v>
      </c>
      <c r="F133" s="43" t="n">
        <f>ROUND(D133*E133,0)</f>
        <v>385000</v>
      </c>
      <c r="G133" s="43" t="n">
        <v>254100</v>
      </c>
      <c r="H133" s="43" t="n">
        <f>F133-G133</f>
        <v>130900</v>
      </c>
      <c r="I133" s="41" t="str">
        <v>架空サンプル</v>
      </c>
    </row>
    <row r="134" ht="25" customHeight="1">
      <c r="A134" s="42" t="d">
        <v>2025-06-05T00:00:00.000Z</v>
      </c>
      <c r="B134" s="41" t="str">
        <v>木工所</v>
      </c>
      <c r="C134" s="41" t="str">
        <v>木製小物</v>
      </c>
      <c r="D134" s="43" t="n">
        <v>4</v>
      </c>
      <c r="E134" s="43" t="n">
        <v>2500</v>
      </c>
      <c r="F134" s="43" t="n">
        <f>ROUND(D134*E134,0)</f>
        <v>10000</v>
      </c>
      <c r="G134" s="43" t="n">
        <v>7200</v>
      </c>
      <c r="H134" s="43" t="n">
        <f>F134-G134</f>
        <v>2800</v>
      </c>
      <c r="I134" s="41" t="str">
        <v>架空サンプル</v>
      </c>
    </row>
    <row r="135" ht="25" customHeight="1">
      <c r="A135" s="42" t="d">
        <v>2025-06-15T00:00:00.000Z</v>
      </c>
      <c r="B135" s="41" t="str">
        <v>木工所</v>
      </c>
      <c r="C135" s="41" t="str">
        <v>木製小物</v>
      </c>
      <c r="D135" s="43" t="n">
        <v>9</v>
      </c>
      <c r="E135" s="43" t="n">
        <v>2500</v>
      </c>
      <c r="F135" s="43" t="n">
        <f>ROUND(D135*E135,0)</f>
        <v>22500</v>
      </c>
      <c r="G135" s="43" t="n">
        <v>16200</v>
      </c>
      <c r="H135" s="43" t="n">
        <f>F135-G135</f>
        <v>6300</v>
      </c>
      <c r="I135" s="41" t="str">
        <v>架空サンプル</v>
      </c>
    </row>
    <row r="136" ht="25" customHeight="1">
      <c r="A136" s="42" t="d">
        <v>2025-06-25T00:00:00.000Z</v>
      </c>
      <c r="B136" s="41" t="str">
        <v>木工所</v>
      </c>
      <c r="C136" s="41" t="str">
        <v>木製小物</v>
      </c>
      <c r="D136" s="43" t="n">
        <v>14</v>
      </c>
      <c r="E136" s="43" t="n">
        <v>2500</v>
      </c>
      <c r="F136" s="43" t="n">
        <f>ROUND(D136*E136,0)</f>
        <v>35000</v>
      </c>
      <c r="G136" s="43" t="n">
        <v>25200</v>
      </c>
      <c r="H136" s="43" t="n">
        <f>F136-G136</f>
        <v>9800</v>
      </c>
      <c r="I136" s="41" t="str">
        <v>架空サンプル</v>
      </c>
    </row>
    <row r="137" ht="25" customHeight="1">
      <c r="A137" s="42" t="d">
        <v>2025-06-05T00:00:00.000Z</v>
      </c>
      <c r="B137" s="41" t="str">
        <v>農家</v>
      </c>
      <c r="C137" s="41" t="str">
        <v>野菜5kg箱</v>
      </c>
      <c r="D137" s="43" t="n">
        <v>25</v>
      </c>
      <c r="E137" s="43" t="n">
        <v>2000</v>
      </c>
      <c r="F137" s="43" t="n">
        <f>ROUND(D137*E137,0)</f>
        <v>50000</v>
      </c>
      <c r="G137" s="43" t="n">
        <v>24000</v>
      </c>
      <c r="H137" s="43" t="n">
        <f>F137-G137</f>
        <v>26000</v>
      </c>
      <c r="I137" s="41" t="str">
        <v>架空サンプル</v>
      </c>
    </row>
    <row r="138" ht="25" customHeight="1">
      <c r="A138" s="42" t="d">
        <v>2025-06-15T00:00:00.000Z</v>
      </c>
      <c r="B138" s="41" t="str">
        <v>農家</v>
      </c>
      <c r="C138" s="41" t="str">
        <v>野菜5kg箱</v>
      </c>
      <c r="D138" s="43" t="n">
        <v>30</v>
      </c>
      <c r="E138" s="43" t="n">
        <v>2000</v>
      </c>
      <c r="F138" s="43" t="n">
        <f>ROUND(D138*E138,0)</f>
        <v>60000</v>
      </c>
      <c r="G138" s="43" t="n">
        <v>28800</v>
      </c>
      <c r="H138" s="43" t="n">
        <f>F138-G138</f>
        <v>31200</v>
      </c>
      <c r="I138" s="41" t="str">
        <v>架空サンプル</v>
      </c>
    </row>
    <row r="139" ht="25" customHeight="1">
      <c r="A139" s="42" t="d">
        <v>2025-06-25T00:00:00.000Z</v>
      </c>
      <c r="B139" s="41" t="str">
        <v>農家</v>
      </c>
      <c r="C139" s="41" t="str">
        <v>野菜5kg箱</v>
      </c>
      <c r="D139" s="43" t="n">
        <v>35</v>
      </c>
      <c r="E139" s="43" t="n">
        <v>2000</v>
      </c>
      <c r="F139" s="43" t="n">
        <f>ROUND(D139*E139,0)</f>
        <v>70000</v>
      </c>
      <c r="G139" s="43" t="n">
        <v>33600</v>
      </c>
      <c r="H139" s="43" t="n">
        <f>F139-G139</f>
        <v>36400</v>
      </c>
      <c r="I139" s="41" t="str">
        <v>架空サンプル</v>
      </c>
    </row>
    <row r="140" ht="25" customHeight="1">
      <c r="A140" s="42" t="d">
        <v>2025-06-05T00:00:00.000Z</v>
      </c>
      <c r="B140" s="41" t="str">
        <v>農家</v>
      </c>
      <c r="C140" s="41" t="str">
        <v>トマト箱</v>
      </c>
      <c r="D140" s="43" t="n">
        <v>28</v>
      </c>
      <c r="E140" s="43" t="n">
        <v>1800</v>
      </c>
      <c r="F140" s="43" t="n">
        <f>ROUND(D140*E140,0)</f>
        <v>50400</v>
      </c>
      <c r="G140" s="43" t="n">
        <v>27216</v>
      </c>
      <c r="H140" s="43" t="n">
        <f>F140-G140</f>
        <v>23184</v>
      </c>
      <c r="I140" s="41" t="str">
        <v>架空サンプル</v>
      </c>
    </row>
    <row r="141" ht="25" customHeight="1">
      <c r="A141" s="42" t="d">
        <v>2025-06-15T00:00:00.000Z</v>
      </c>
      <c r="B141" s="41" t="str">
        <v>農家</v>
      </c>
      <c r="C141" s="41" t="str">
        <v>トマト箱</v>
      </c>
      <c r="D141" s="43" t="n">
        <v>33</v>
      </c>
      <c r="E141" s="43" t="n">
        <v>1800</v>
      </c>
      <c r="F141" s="43" t="n">
        <f>ROUND(D141*E141,0)</f>
        <v>59400</v>
      </c>
      <c r="G141" s="43" t="n">
        <v>32076</v>
      </c>
      <c r="H141" s="43" t="n">
        <f>F141-G141</f>
        <v>27324</v>
      </c>
      <c r="I141" s="41" t="str">
        <v>架空サンプル</v>
      </c>
    </row>
    <row r="142" ht="25" customHeight="1">
      <c r="A142" s="42" t="d">
        <v>2025-06-25T00:00:00.000Z</v>
      </c>
      <c r="B142" s="41" t="str">
        <v>農家</v>
      </c>
      <c r="C142" s="41" t="str">
        <v>トマト箱</v>
      </c>
      <c r="D142" s="43" t="n">
        <v>21</v>
      </c>
      <c r="E142" s="43" t="n">
        <v>1800</v>
      </c>
      <c r="F142" s="43" t="n">
        <f>ROUND(D142*E142,0)</f>
        <v>37800</v>
      </c>
      <c r="G142" s="43" t="n">
        <v>20412</v>
      </c>
      <c r="H142" s="43" t="n">
        <f>F142-G142</f>
        <v>17388</v>
      </c>
      <c r="I142" s="41" t="str">
        <v>架空サンプル</v>
      </c>
    </row>
    <row r="143" ht="25" customHeight="1">
      <c r="A143" s="42" t="d">
        <v>2025-06-05T00:00:00.000Z</v>
      </c>
      <c r="B143" s="41" t="str">
        <v>農家</v>
      </c>
      <c r="C143" s="41" t="str">
        <v>米5kg</v>
      </c>
      <c r="D143" s="43" t="n">
        <v>31</v>
      </c>
      <c r="E143" s="43" t="n">
        <v>3200</v>
      </c>
      <c r="F143" s="43" t="n">
        <f>ROUND(D143*E143,0)</f>
        <v>99200</v>
      </c>
      <c r="G143" s="43" t="n">
        <v>59520</v>
      </c>
      <c r="H143" s="43" t="n">
        <f>F143-G143</f>
        <v>39680</v>
      </c>
      <c r="I143" s="41" t="str">
        <v>架空サンプル</v>
      </c>
    </row>
    <row r="144" ht="25" customHeight="1">
      <c r="A144" s="42" t="d">
        <v>2025-06-15T00:00:00.000Z</v>
      </c>
      <c r="B144" s="41" t="str">
        <v>農家</v>
      </c>
      <c r="C144" s="41" t="str">
        <v>米5kg</v>
      </c>
      <c r="D144" s="43" t="n">
        <v>36</v>
      </c>
      <c r="E144" s="43" t="n">
        <v>3200</v>
      </c>
      <c r="F144" s="43" t="n">
        <f>ROUND(D144*E144,0)</f>
        <v>115200</v>
      </c>
      <c r="G144" s="43" t="n">
        <v>69120</v>
      </c>
      <c r="H144" s="43" t="n">
        <f>F144-G144</f>
        <v>46080</v>
      </c>
      <c r="I144" s="41" t="str">
        <v>架空サンプル</v>
      </c>
    </row>
    <row r="145" ht="25" customHeight="1">
      <c r="A145" s="42" t="d">
        <v>2025-06-25T00:00:00.000Z</v>
      </c>
      <c r="B145" s="41" t="str">
        <v>農家</v>
      </c>
      <c r="C145" s="41" t="str">
        <v>米5kg</v>
      </c>
      <c r="D145" s="43" t="n">
        <v>24</v>
      </c>
      <c r="E145" s="43" t="n">
        <v>3200</v>
      </c>
      <c r="F145" s="43" t="n">
        <f>ROUND(D145*E145,0)</f>
        <v>76800</v>
      </c>
      <c r="G145" s="43" t="n">
        <v>46080</v>
      </c>
      <c r="H145" s="43" t="n">
        <f>F145-G145</f>
        <v>30720</v>
      </c>
      <c r="I145" s="41" t="str">
        <v>架空サンプル</v>
      </c>
    </row>
    <row r="146" ht="25" customHeight="1">
      <c r="A146" s="42" t="d">
        <v>2025-06-05T00:00:00.000Z</v>
      </c>
      <c r="B146" s="41" t="str">
        <v>農家</v>
      </c>
      <c r="C146" s="41" t="str">
        <v>季節の果物</v>
      </c>
      <c r="D146" s="43" t="n">
        <v>34</v>
      </c>
      <c r="E146" s="43" t="n">
        <v>4000</v>
      </c>
      <c r="F146" s="43" t="n">
        <f>ROUND(D146*E146,0)</f>
        <v>136000</v>
      </c>
      <c r="G146" s="43" t="n">
        <v>89760</v>
      </c>
      <c r="H146" s="43" t="n">
        <f>F146-G146</f>
        <v>46240</v>
      </c>
      <c r="I146" s="41" t="str">
        <v>架空サンプル</v>
      </c>
    </row>
    <row r="147" ht="25" customHeight="1">
      <c r="A147" s="42" t="d">
        <v>2025-06-15T00:00:00.000Z</v>
      </c>
      <c r="B147" s="41" t="str">
        <v>農家</v>
      </c>
      <c r="C147" s="41" t="str">
        <v>季節の果物</v>
      </c>
      <c r="D147" s="43" t="n">
        <v>22</v>
      </c>
      <c r="E147" s="43" t="n">
        <v>4000</v>
      </c>
      <c r="F147" s="43" t="n">
        <f>ROUND(D147*E147,0)</f>
        <v>88000</v>
      </c>
      <c r="G147" s="43" t="n">
        <v>58080</v>
      </c>
      <c r="H147" s="43" t="n">
        <f>F147-G147</f>
        <v>29920</v>
      </c>
      <c r="I147" s="41" t="str">
        <v>架空サンプル</v>
      </c>
    </row>
    <row r="148" ht="25" customHeight="1">
      <c r="A148" s="42" t="d">
        <v>2025-06-25T00:00:00.000Z</v>
      </c>
      <c r="B148" s="41" t="str">
        <v>農家</v>
      </c>
      <c r="C148" s="41" t="str">
        <v>季節の果物</v>
      </c>
      <c r="D148" s="43" t="n">
        <v>27</v>
      </c>
      <c r="E148" s="43" t="n">
        <v>4000</v>
      </c>
      <c r="F148" s="43" t="n">
        <f>ROUND(D148*E148,0)</f>
        <v>108000</v>
      </c>
      <c r="G148" s="43" t="n">
        <v>71280</v>
      </c>
      <c r="H148" s="43" t="n">
        <f>F148-G148</f>
        <v>36720</v>
      </c>
      <c r="I148" s="41" t="str">
        <v>架空サンプル</v>
      </c>
    </row>
    <row r="149" ht="25" customHeight="1">
      <c r="A149" s="42" t="d">
        <v>2025-07-05T00:00:00.000Z</v>
      </c>
      <c r="B149" s="41" t="str">
        <v>木工所</v>
      </c>
      <c r="C149" s="41" t="str">
        <v>テーブル</v>
      </c>
      <c r="D149" s="43" t="n">
        <v>2</v>
      </c>
      <c r="E149" s="43" t="n">
        <v>50000</v>
      </c>
      <c r="F149" s="43" t="n">
        <f>ROUND(D149*E149,0)</f>
        <v>100000</v>
      </c>
      <c r="G149" s="43" t="n">
        <v>60000</v>
      </c>
      <c r="H149" s="43" t="n">
        <f>F149-G149</f>
        <v>40000</v>
      </c>
      <c r="I149" s="41" t="str">
        <v>架空サンプル</v>
      </c>
    </row>
    <row r="150" ht="25" customHeight="1">
      <c r="A150" s="42" t="d">
        <v>2025-07-15T00:00:00.000Z</v>
      </c>
      <c r="B150" s="41" t="str">
        <v>木工所</v>
      </c>
      <c r="C150" s="41" t="str">
        <v>テーブル</v>
      </c>
      <c r="D150" s="43" t="n">
        <v>7</v>
      </c>
      <c r="E150" s="43" t="n">
        <v>50000</v>
      </c>
      <c r="F150" s="43" t="n">
        <f>ROUND(D150*E150,0)</f>
        <v>350000</v>
      </c>
      <c r="G150" s="43" t="n">
        <v>210000</v>
      </c>
      <c r="H150" s="43" t="n">
        <f>F150-G150</f>
        <v>140000</v>
      </c>
      <c r="I150" s="41" t="str">
        <v>架空サンプル</v>
      </c>
    </row>
    <row r="151" ht="25" customHeight="1">
      <c r="A151" s="42" t="d">
        <v>2025-07-25T00:00:00.000Z</v>
      </c>
      <c r="B151" s="41" t="str">
        <v>木工所</v>
      </c>
      <c r="C151" s="41" t="str">
        <v>テーブル</v>
      </c>
      <c r="D151" s="43" t="n">
        <v>12</v>
      </c>
      <c r="E151" s="43" t="n">
        <v>50000</v>
      </c>
      <c r="F151" s="43" t="n">
        <f>ROUND(D151*E151,0)</f>
        <v>600000</v>
      </c>
      <c r="G151" s="43" t="n">
        <v>360000</v>
      </c>
      <c r="H151" s="43" t="n">
        <f>F151-G151</f>
        <v>240000</v>
      </c>
      <c r="I151" s="41" t="str">
        <v>架空サンプル</v>
      </c>
    </row>
    <row r="152" ht="25" customHeight="1">
      <c r="A152" s="42" t="d">
        <v>2025-07-05T00:00:00.000Z</v>
      </c>
      <c r="B152" s="41" t="str">
        <v>木工所</v>
      </c>
      <c r="C152" s="41" t="str">
        <v>椅子</v>
      </c>
      <c r="D152" s="43" t="n">
        <v>5</v>
      </c>
      <c r="E152" s="43" t="n">
        <v>15000</v>
      </c>
      <c r="F152" s="43" t="n">
        <f>ROUND(D152*E152,0)</f>
        <v>75000</v>
      </c>
      <c r="G152" s="43" t="n">
        <v>49500</v>
      </c>
      <c r="H152" s="43" t="n">
        <f>F152-G152</f>
        <v>25500</v>
      </c>
      <c r="I152" s="41" t="str">
        <v>架空サンプル</v>
      </c>
    </row>
    <row r="153" ht="25" customHeight="1">
      <c r="A153" s="42" t="d">
        <v>2025-07-15T00:00:00.000Z</v>
      </c>
      <c r="B153" s="41" t="str">
        <v>木工所</v>
      </c>
      <c r="C153" s="41" t="str">
        <v>椅子</v>
      </c>
      <c r="D153" s="43" t="n">
        <v>10</v>
      </c>
      <c r="E153" s="43" t="n">
        <v>15000</v>
      </c>
      <c r="F153" s="43" t="n">
        <f>ROUND(D153*E153,0)</f>
        <v>150000</v>
      </c>
      <c r="G153" s="43" t="n">
        <v>99000</v>
      </c>
      <c r="H153" s="43" t="n">
        <f>F153-G153</f>
        <v>51000</v>
      </c>
      <c r="I153" s="41" t="str">
        <v>架空サンプル</v>
      </c>
    </row>
    <row r="154" ht="25" customHeight="1">
      <c r="A154" s="42" t="d">
        <v>2025-07-25T00:00:00.000Z</v>
      </c>
      <c r="B154" s="41" t="str">
        <v>木工所</v>
      </c>
      <c r="C154" s="41" t="str">
        <v>椅子</v>
      </c>
      <c r="D154" s="43" t="n">
        <v>15</v>
      </c>
      <c r="E154" s="43" t="n">
        <v>15000</v>
      </c>
      <c r="F154" s="43" t="n">
        <f>ROUND(D154*E154,0)</f>
        <v>225000</v>
      </c>
      <c r="G154" s="43" t="n">
        <v>148500</v>
      </c>
      <c r="H154" s="43" t="n">
        <f>F154-G154</f>
        <v>76500</v>
      </c>
      <c r="I154" s="41" t="str">
        <v>架空サンプル</v>
      </c>
    </row>
    <row r="155" ht="25" customHeight="1">
      <c r="A155" s="42" t="d">
        <v>2025-07-05T00:00:00.000Z</v>
      </c>
      <c r="B155" s="41" t="str">
        <v>木工所</v>
      </c>
      <c r="C155" s="41" t="str">
        <v>収納棚</v>
      </c>
      <c r="D155" s="43" t="n">
        <v>8</v>
      </c>
      <c r="E155" s="43" t="n">
        <v>35000</v>
      </c>
      <c r="F155" s="43" t="n">
        <f>ROUND(D155*E155,0)</f>
        <v>280000</v>
      </c>
      <c r="G155" s="43" t="n">
        <v>201600</v>
      </c>
      <c r="H155" s="43" t="n">
        <f>F155-G155</f>
        <v>78400</v>
      </c>
      <c r="I155" s="41" t="str">
        <v>架空サンプル</v>
      </c>
    </row>
    <row r="156" ht="25" customHeight="1">
      <c r="A156" s="42" t="d">
        <v>2025-07-15T00:00:00.000Z</v>
      </c>
      <c r="B156" s="41" t="str">
        <v>木工所</v>
      </c>
      <c r="C156" s="41" t="str">
        <v>収納棚</v>
      </c>
      <c r="D156" s="43" t="n">
        <v>13</v>
      </c>
      <c r="E156" s="43" t="n">
        <v>35000</v>
      </c>
      <c r="F156" s="43" t="n">
        <f>ROUND(D156*E156,0)</f>
        <v>455000</v>
      </c>
      <c r="G156" s="43" t="n">
        <v>327600</v>
      </c>
      <c r="H156" s="43" t="n">
        <f>F156-G156</f>
        <v>127400</v>
      </c>
      <c r="I156" s="41" t="str">
        <v>架空サンプル</v>
      </c>
    </row>
    <row r="157" ht="25" customHeight="1">
      <c r="A157" s="42" t="d">
        <v>2025-07-25T00:00:00.000Z</v>
      </c>
      <c r="B157" s="41" t="str">
        <v>木工所</v>
      </c>
      <c r="C157" s="41" t="str">
        <v>収納棚</v>
      </c>
      <c r="D157" s="43" t="n">
        <v>18</v>
      </c>
      <c r="E157" s="43" t="n">
        <v>35000</v>
      </c>
      <c r="F157" s="43" t="n">
        <f>ROUND(D157*E157,0)</f>
        <v>630000</v>
      </c>
      <c r="G157" s="43" t="n">
        <v>453600</v>
      </c>
      <c r="H157" s="43" t="n">
        <f>F157-G157</f>
        <v>176400</v>
      </c>
      <c r="I157" s="41" t="str">
        <v>架空サンプル</v>
      </c>
    </row>
    <row r="158" ht="25" customHeight="1">
      <c r="A158" s="42" t="d">
        <v>2025-07-05T00:00:00.000Z</v>
      </c>
      <c r="B158" s="41" t="str">
        <v>木工所</v>
      </c>
      <c r="C158" s="41" t="str">
        <v>木製小物</v>
      </c>
      <c r="D158" s="43" t="n">
        <v>11</v>
      </c>
      <c r="E158" s="43" t="n">
        <v>2500</v>
      </c>
      <c r="F158" s="43" t="n">
        <f>ROUND(D158*E158,0)</f>
        <v>27500</v>
      </c>
      <c r="G158" s="43" t="n">
        <v>13200</v>
      </c>
      <c r="H158" s="43" t="n">
        <f>F158-G158</f>
        <v>14300</v>
      </c>
      <c r="I158" s="41" t="str">
        <v>架空サンプル</v>
      </c>
    </row>
    <row r="159" ht="25" customHeight="1">
      <c r="A159" s="42" t="d">
        <v>2025-07-15T00:00:00.000Z</v>
      </c>
      <c r="B159" s="41" t="str">
        <v>木工所</v>
      </c>
      <c r="C159" s="41" t="str">
        <v>木製小物</v>
      </c>
      <c r="D159" s="43" t="n">
        <v>16</v>
      </c>
      <c r="E159" s="43" t="n">
        <v>2500</v>
      </c>
      <c r="F159" s="43" t="n">
        <f>ROUND(D159*E159,0)</f>
        <v>40000</v>
      </c>
      <c r="G159" s="43" t="n">
        <v>19200</v>
      </c>
      <c r="H159" s="43" t="n">
        <f>F159-G159</f>
        <v>20800</v>
      </c>
      <c r="I159" s="41" t="str">
        <v>架空サンプル</v>
      </c>
    </row>
    <row r="160" ht="25" customHeight="1">
      <c r="A160" s="42" t="d">
        <v>2025-07-25T00:00:00.000Z</v>
      </c>
      <c r="B160" s="41" t="str">
        <v>木工所</v>
      </c>
      <c r="C160" s="41" t="str">
        <v>木製小物</v>
      </c>
      <c r="D160" s="43" t="n">
        <v>4</v>
      </c>
      <c r="E160" s="43" t="n">
        <v>2500</v>
      </c>
      <c r="F160" s="43" t="n">
        <f>ROUND(D160*E160,0)</f>
        <v>10000</v>
      </c>
      <c r="G160" s="43" t="n">
        <v>4800</v>
      </c>
      <c r="H160" s="43" t="n">
        <f>F160-G160</f>
        <v>5200</v>
      </c>
      <c r="I160" s="41" t="str">
        <v>架空サンプル</v>
      </c>
    </row>
    <row r="161" ht="25" customHeight="1">
      <c r="A161" s="42" t="d">
        <v>2025-07-05T00:00:00.000Z</v>
      </c>
      <c r="B161" s="41" t="str">
        <v>農家</v>
      </c>
      <c r="C161" s="41" t="str">
        <v>野菜5kg箱</v>
      </c>
      <c r="D161" s="43" t="n">
        <v>32</v>
      </c>
      <c r="E161" s="43" t="n">
        <v>2000</v>
      </c>
      <c r="F161" s="43" t="n">
        <f>ROUND(D161*E161,0)</f>
        <v>64000</v>
      </c>
      <c r="G161" s="43" t="n">
        <v>34560</v>
      </c>
      <c r="H161" s="43" t="n">
        <f>F161-G161</f>
        <v>29440</v>
      </c>
      <c r="I161" s="41" t="str">
        <v>架空サンプル</v>
      </c>
    </row>
    <row r="162" ht="25" customHeight="1">
      <c r="A162" s="42" t="d">
        <v>2025-07-15T00:00:00.000Z</v>
      </c>
      <c r="B162" s="41" t="str">
        <v>農家</v>
      </c>
      <c r="C162" s="41" t="str">
        <v>野菜5kg箱</v>
      </c>
      <c r="D162" s="43" t="n">
        <v>20</v>
      </c>
      <c r="E162" s="43" t="n">
        <v>2000</v>
      </c>
      <c r="F162" s="43" t="n">
        <f>ROUND(D162*E162,0)</f>
        <v>40000</v>
      </c>
      <c r="G162" s="43" t="n">
        <v>21600</v>
      </c>
      <c r="H162" s="43" t="n">
        <f>F162-G162</f>
        <v>18400</v>
      </c>
      <c r="I162" s="41" t="str">
        <v>架空サンプル</v>
      </c>
    </row>
    <row r="163" ht="25" customHeight="1">
      <c r="A163" s="42" t="d">
        <v>2025-07-25T00:00:00.000Z</v>
      </c>
      <c r="B163" s="41" t="str">
        <v>農家</v>
      </c>
      <c r="C163" s="41" t="str">
        <v>野菜5kg箱</v>
      </c>
      <c r="D163" s="43" t="n">
        <v>25</v>
      </c>
      <c r="E163" s="43" t="n">
        <v>2000</v>
      </c>
      <c r="F163" s="43" t="n">
        <f>ROUND(D163*E163,0)</f>
        <v>50000</v>
      </c>
      <c r="G163" s="43" t="n">
        <v>27000</v>
      </c>
      <c r="H163" s="43" t="n">
        <f>F163-G163</f>
        <v>23000</v>
      </c>
      <c r="I163" s="41" t="str">
        <v>架空サンプル</v>
      </c>
    </row>
    <row r="164" ht="25" customHeight="1">
      <c r="A164" s="42" t="d">
        <v>2025-07-05T00:00:00.000Z</v>
      </c>
      <c r="B164" s="41" t="str">
        <v>農家</v>
      </c>
      <c r="C164" s="41" t="str">
        <v>トマト箱</v>
      </c>
      <c r="D164" s="43" t="n">
        <v>35</v>
      </c>
      <c r="E164" s="43" t="n">
        <v>1800</v>
      </c>
      <c r="F164" s="43" t="n">
        <f>ROUND(D164*E164,0)</f>
        <v>63000</v>
      </c>
      <c r="G164" s="43" t="n">
        <v>37800</v>
      </c>
      <c r="H164" s="43" t="n">
        <f>F164-G164</f>
        <v>25200</v>
      </c>
      <c r="I164" s="41" t="str">
        <v>架空サンプル</v>
      </c>
    </row>
    <row r="165" ht="25" customHeight="1">
      <c r="A165" s="42" t="d">
        <v>2025-07-15T00:00:00.000Z</v>
      </c>
      <c r="B165" s="41" t="str">
        <v>農家</v>
      </c>
      <c r="C165" s="41" t="str">
        <v>トマト箱</v>
      </c>
      <c r="D165" s="43" t="n">
        <v>23</v>
      </c>
      <c r="E165" s="43" t="n">
        <v>1800</v>
      </c>
      <c r="F165" s="43" t="n">
        <f>ROUND(D165*E165,0)</f>
        <v>41400</v>
      </c>
      <c r="G165" s="43" t="n">
        <v>24840</v>
      </c>
      <c r="H165" s="43" t="n">
        <f>F165-G165</f>
        <v>16560</v>
      </c>
      <c r="I165" s="41" t="str">
        <v>架空サンプル</v>
      </c>
    </row>
    <row r="166" ht="25" customHeight="1">
      <c r="A166" s="42" t="d">
        <v>2025-07-25T00:00:00.000Z</v>
      </c>
      <c r="B166" s="41" t="str">
        <v>農家</v>
      </c>
      <c r="C166" s="41" t="str">
        <v>トマト箱</v>
      </c>
      <c r="D166" s="43" t="n">
        <v>28</v>
      </c>
      <c r="E166" s="43" t="n">
        <v>1800</v>
      </c>
      <c r="F166" s="43" t="n">
        <f>ROUND(D166*E166,0)</f>
        <v>50400</v>
      </c>
      <c r="G166" s="43" t="n">
        <v>30240</v>
      </c>
      <c r="H166" s="43" t="n">
        <f>F166-G166</f>
        <v>20160</v>
      </c>
      <c r="I166" s="41" t="str">
        <v>架空サンプル</v>
      </c>
    </row>
    <row r="167" ht="25" customHeight="1">
      <c r="A167" s="42" t="d">
        <v>2025-07-05T00:00:00.000Z</v>
      </c>
      <c r="B167" s="41" t="str">
        <v>農家</v>
      </c>
      <c r="C167" s="41" t="str">
        <v>米5kg</v>
      </c>
      <c r="D167" s="43" t="n">
        <v>21</v>
      </c>
      <c r="E167" s="43" t="n">
        <v>3200</v>
      </c>
      <c r="F167" s="43" t="n">
        <f>ROUND(D167*E167,0)</f>
        <v>67200</v>
      </c>
      <c r="G167" s="43" t="n">
        <v>44352</v>
      </c>
      <c r="H167" s="43" t="n">
        <f>F167-G167</f>
        <v>22848</v>
      </c>
      <c r="I167" s="41" t="str">
        <v>架空サンプル</v>
      </c>
    </row>
    <row r="168" ht="25" customHeight="1">
      <c r="A168" s="42" t="d">
        <v>2025-07-15T00:00:00.000Z</v>
      </c>
      <c r="B168" s="41" t="str">
        <v>農家</v>
      </c>
      <c r="C168" s="41" t="str">
        <v>米5kg</v>
      </c>
      <c r="D168" s="43" t="n">
        <v>26</v>
      </c>
      <c r="E168" s="43" t="n">
        <v>3200</v>
      </c>
      <c r="F168" s="43" t="n">
        <f>ROUND(D168*E168,0)</f>
        <v>83200</v>
      </c>
      <c r="G168" s="43" t="n">
        <v>54912</v>
      </c>
      <c r="H168" s="43" t="n">
        <f>F168-G168</f>
        <v>28288</v>
      </c>
      <c r="I168" s="41" t="str">
        <v>架空サンプル</v>
      </c>
    </row>
    <row r="169" ht="25" customHeight="1">
      <c r="A169" s="42" t="d">
        <v>2025-07-25T00:00:00.000Z</v>
      </c>
      <c r="B169" s="41" t="str">
        <v>農家</v>
      </c>
      <c r="C169" s="41" t="str">
        <v>米5kg</v>
      </c>
      <c r="D169" s="43" t="n">
        <v>31</v>
      </c>
      <c r="E169" s="43" t="n">
        <v>3200</v>
      </c>
      <c r="F169" s="43" t="n">
        <f>ROUND(D169*E169,0)</f>
        <v>99200</v>
      </c>
      <c r="G169" s="43" t="n">
        <v>65472</v>
      </c>
      <c r="H169" s="43" t="n">
        <f>F169-G169</f>
        <v>33728</v>
      </c>
      <c r="I169" s="41" t="str">
        <v>架空サンプル</v>
      </c>
    </row>
    <row r="170" ht="25" customHeight="1">
      <c r="A170" s="42" t="d">
        <v>2025-07-05T00:00:00.000Z</v>
      </c>
      <c r="B170" s="41" t="str">
        <v>農家</v>
      </c>
      <c r="C170" s="41" t="str">
        <v>季節の果物</v>
      </c>
      <c r="D170" s="43" t="n">
        <v>24</v>
      </c>
      <c r="E170" s="43" t="n">
        <v>4000</v>
      </c>
      <c r="F170" s="43" t="n">
        <f>ROUND(D170*E170,0)</f>
        <v>96000</v>
      </c>
      <c r="G170" s="43" t="n">
        <v>69120</v>
      </c>
      <c r="H170" s="43" t="n">
        <f>F170-G170</f>
        <v>26880</v>
      </c>
      <c r="I170" s="41" t="str">
        <v>架空サンプル</v>
      </c>
    </row>
    <row r="171" ht="25" customHeight="1">
      <c r="A171" s="42" t="d">
        <v>2025-07-15T00:00:00.000Z</v>
      </c>
      <c r="B171" s="41" t="str">
        <v>農家</v>
      </c>
      <c r="C171" s="41" t="str">
        <v>季節の果物</v>
      </c>
      <c r="D171" s="43" t="n">
        <v>29</v>
      </c>
      <c r="E171" s="43" t="n">
        <v>4000</v>
      </c>
      <c r="F171" s="43" t="n">
        <f>ROUND(D171*E171,0)</f>
        <v>116000</v>
      </c>
      <c r="G171" s="43" t="n">
        <v>83520</v>
      </c>
      <c r="H171" s="43" t="n">
        <f>F171-G171</f>
        <v>32480</v>
      </c>
      <c r="I171" s="41" t="str">
        <v>架空サンプル</v>
      </c>
    </row>
    <row r="172" ht="25" customHeight="1">
      <c r="A172" s="42" t="d">
        <v>2025-07-25T00:00:00.000Z</v>
      </c>
      <c r="B172" s="41" t="str">
        <v>農家</v>
      </c>
      <c r="C172" s="41" t="str">
        <v>季節の果物</v>
      </c>
      <c r="D172" s="43" t="n">
        <v>34</v>
      </c>
      <c r="E172" s="43" t="n">
        <v>4000</v>
      </c>
      <c r="F172" s="43" t="n">
        <f>ROUND(D172*E172,0)</f>
        <v>136000</v>
      </c>
      <c r="G172" s="43" t="n">
        <v>97920</v>
      </c>
      <c r="H172" s="43" t="n">
        <f>F172-G172</f>
        <v>38080</v>
      </c>
      <c r="I172" s="41" t="str">
        <v>架空サンプル</v>
      </c>
    </row>
    <row r="173" ht="25" customHeight="1">
      <c r="A173" s="42" t="d">
        <v>2025-08-05T00:00:00.000Z</v>
      </c>
      <c r="B173" s="41" t="str">
        <v>木工所</v>
      </c>
      <c r="C173" s="41" t="str">
        <v>テーブル</v>
      </c>
      <c r="D173" s="43" t="n">
        <v>9</v>
      </c>
      <c r="E173" s="43" t="n">
        <v>50000</v>
      </c>
      <c r="F173" s="43" t="n">
        <f>ROUND(D173*E173,0)</f>
        <v>450000</v>
      </c>
      <c r="G173" s="43" t="n">
        <v>297000</v>
      </c>
      <c r="H173" s="43" t="n">
        <f>F173-G173</f>
        <v>153000</v>
      </c>
      <c r="I173" s="41" t="str">
        <v>架空サンプル</v>
      </c>
    </row>
    <row r="174" ht="25" customHeight="1">
      <c r="A174" s="42" t="d">
        <v>2025-08-15T00:00:00.000Z</v>
      </c>
      <c r="B174" s="41" t="str">
        <v>木工所</v>
      </c>
      <c r="C174" s="41" t="str">
        <v>テーブル</v>
      </c>
      <c r="D174" s="43" t="n">
        <v>14</v>
      </c>
      <c r="E174" s="43" t="n">
        <v>50000</v>
      </c>
      <c r="F174" s="43" t="n">
        <f>ROUND(D174*E174,0)</f>
        <v>700000</v>
      </c>
      <c r="G174" s="43" t="n">
        <v>462000</v>
      </c>
      <c r="H174" s="43" t="n">
        <f>F174-G174</f>
        <v>238000</v>
      </c>
      <c r="I174" s="41" t="str">
        <v>架空サンプル</v>
      </c>
    </row>
    <row r="175" ht="25" customHeight="1">
      <c r="A175" s="42" t="d">
        <v>2025-08-25T00:00:00.000Z</v>
      </c>
      <c r="B175" s="41" t="str">
        <v>木工所</v>
      </c>
      <c r="C175" s="41" t="str">
        <v>テーブル</v>
      </c>
      <c r="D175" s="43" t="n">
        <v>2</v>
      </c>
      <c r="E175" s="43" t="n">
        <v>50000</v>
      </c>
      <c r="F175" s="43" t="n">
        <f>ROUND(D175*E175,0)</f>
        <v>100000</v>
      </c>
      <c r="G175" s="43" t="n">
        <v>66000</v>
      </c>
      <c r="H175" s="43" t="n">
        <f>F175-G175</f>
        <v>34000</v>
      </c>
      <c r="I175" s="41" t="str">
        <v>架空サンプル</v>
      </c>
    </row>
    <row r="176" ht="25" customHeight="1">
      <c r="A176" s="42" t="d">
        <v>2025-08-05T00:00:00.000Z</v>
      </c>
      <c r="B176" s="41" t="str">
        <v>木工所</v>
      </c>
      <c r="C176" s="41" t="str">
        <v>椅子</v>
      </c>
      <c r="D176" s="43" t="n">
        <v>12</v>
      </c>
      <c r="E176" s="43" t="n">
        <v>15000</v>
      </c>
      <c r="F176" s="43" t="n">
        <f>ROUND(D176*E176,0)</f>
        <v>180000</v>
      </c>
      <c r="G176" s="43" t="n">
        <v>129600</v>
      </c>
      <c r="H176" s="43" t="n">
        <f>F176-G176</f>
        <v>50400</v>
      </c>
      <c r="I176" s="41" t="str">
        <v>架空サンプル</v>
      </c>
    </row>
    <row r="177" ht="25" customHeight="1">
      <c r="A177" s="42" t="d">
        <v>2025-08-15T00:00:00.000Z</v>
      </c>
      <c r="B177" s="41" t="str">
        <v>木工所</v>
      </c>
      <c r="C177" s="41" t="str">
        <v>椅子</v>
      </c>
      <c r="D177" s="43" t="n">
        <v>17</v>
      </c>
      <c r="E177" s="43" t="n">
        <v>15000</v>
      </c>
      <c r="F177" s="43" t="n">
        <f>ROUND(D177*E177,0)</f>
        <v>255000</v>
      </c>
      <c r="G177" s="43" t="n">
        <v>183600</v>
      </c>
      <c r="H177" s="43" t="n">
        <f>F177-G177</f>
        <v>71400</v>
      </c>
      <c r="I177" s="41" t="str">
        <v>架空サンプル</v>
      </c>
    </row>
    <row r="178" ht="25" customHeight="1">
      <c r="A178" s="42" t="d">
        <v>2025-08-25T00:00:00.000Z</v>
      </c>
      <c r="B178" s="41" t="str">
        <v>木工所</v>
      </c>
      <c r="C178" s="41" t="str">
        <v>椅子</v>
      </c>
      <c r="D178" s="43" t="n">
        <v>5</v>
      </c>
      <c r="E178" s="43" t="n">
        <v>15000</v>
      </c>
      <c r="F178" s="43" t="n">
        <f>ROUND(D178*E178,0)</f>
        <v>75000</v>
      </c>
      <c r="G178" s="43" t="n">
        <v>54000</v>
      </c>
      <c r="H178" s="43" t="n">
        <f>F178-G178</f>
        <v>21000</v>
      </c>
      <c r="I178" s="41" t="str">
        <v>架空サンプル</v>
      </c>
    </row>
    <row r="179" ht="25" customHeight="1">
      <c r="A179" s="42" t="d">
        <v>2025-08-05T00:00:00.000Z</v>
      </c>
      <c r="B179" s="41" t="str">
        <v>木工所</v>
      </c>
      <c r="C179" s="41" t="str">
        <v>収納棚</v>
      </c>
      <c r="D179" s="43" t="n">
        <v>15</v>
      </c>
      <c r="E179" s="43" t="n">
        <v>35000</v>
      </c>
      <c r="F179" s="43" t="n">
        <f>ROUND(D179*E179,0)</f>
        <v>525000</v>
      </c>
      <c r="G179" s="43" t="n">
        <v>252000</v>
      </c>
      <c r="H179" s="43" t="n">
        <f>F179-G179</f>
        <v>273000</v>
      </c>
      <c r="I179" s="41" t="str">
        <v>架空サンプル</v>
      </c>
    </row>
    <row r="180" ht="25" customHeight="1">
      <c r="A180" s="42" t="d">
        <v>2025-08-15T00:00:00.000Z</v>
      </c>
      <c r="B180" s="41" t="str">
        <v>木工所</v>
      </c>
      <c r="C180" s="41" t="str">
        <v>収納棚</v>
      </c>
      <c r="D180" s="43" t="n">
        <v>3</v>
      </c>
      <c r="E180" s="43" t="n">
        <v>35000</v>
      </c>
      <c r="F180" s="43" t="n">
        <f>ROUND(D180*E180,0)</f>
        <v>105000</v>
      </c>
      <c r="G180" s="43" t="n">
        <v>50400</v>
      </c>
      <c r="H180" s="43" t="n">
        <f>F180-G180</f>
        <v>54600</v>
      </c>
      <c r="I180" s="41" t="str">
        <v>架空サンプル</v>
      </c>
    </row>
    <row r="181" ht="25" customHeight="1">
      <c r="A181" s="42" t="d">
        <v>2025-08-25T00:00:00.000Z</v>
      </c>
      <c r="B181" s="41" t="str">
        <v>木工所</v>
      </c>
      <c r="C181" s="41" t="str">
        <v>収納棚</v>
      </c>
      <c r="D181" s="43" t="n">
        <v>8</v>
      </c>
      <c r="E181" s="43" t="n">
        <v>35000</v>
      </c>
      <c r="F181" s="43" t="n">
        <f>ROUND(D181*E181,0)</f>
        <v>280000</v>
      </c>
      <c r="G181" s="43" t="n">
        <v>134400</v>
      </c>
      <c r="H181" s="43" t="n">
        <f>F181-G181</f>
        <v>145600</v>
      </c>
      <c r="I181" s="41" t="str">
        <v>架空サンプル</v>
      </c>
    </row>
    <row r="182" ht="25" customHeight="1">
      <c r="A182" s="42" t="d">
        <v>2025-08-05T00:00:00.000Z</v>
      </c>
      <c r="B182" s="41" t="str">
        <v>木工所</v>
      </c>
      <c r="C182" s="41" t="str">
        <v>木製小物</v>
      </c>
      <c r="D182" s="43" t="n">
        <v>18</v>
      </c>
      <c r="E182" s="43" t="n">
        <v>2500</v>
      </c>
      <c r="F182" s="43" t="n">
        <f>ROUND(D182*E182,0)</f>
        <v>45000</v>
      </c>
      <c r="G182" s="43" t="n">
        <v>24300</v>
      </c>
      <c r="H182" s="43" t="n">
        <f>F182-G182</f>
        <v>20700</v>
      </c>
      <c r="I182" s="41" t="str">
        <v>架空サンプル</v>
      </c>
    </row>
    <row r="183" ht="25" customHeight="1">
      <c r="A183" s="42" t="d">
        <v>2025-08-15T00:00:00.000Z</v>
      </c>
      <c r="B183" s="41" t="str">
        <v>木工所</v>
      </c>
      <c r="C183" s="41" t="str">
        <v>木製小物</v>
      </c>
      <c r="D183" s="43" t="n">
        <v>6</v>
      </c>
      <c r="E183" s="43" t="n">
        <v>2500</v>
      </c>
      <c r="F183" s="43" t="n">
        <f>ROUND(D183*E183,0)</f>
        <v>15000</v>
      </c>
      <c r="G183" s="43" t="n">
        <v>8100</v>
      </c>
      <c r="H183" s="43" t="n">
        <f>F183-G183</f>
        <v>6900</v>
      </c>
      <c r="I183" s="41" t="str">
        <v>架空サンプル</v>
      </c>
    </row>
    <row r="184" ht="25" customHeight="1">
      <c r="A184" s="42" t="d">
        <v>2025-08-25T00:00:00.000Z</v>
      </c>
      <c r="B184" s="41" t="str">
        <v>木工所</v>
      </c>
      <c r="C184" s="41" t="str">
        <v>木製小物</v>
      </c>
      <c r="D184" s="43" t="n">
        <v>11</v>
      </c>
      <c r="E184" s="43" t="n">
        <v>2500</v>
      </c>
      <c r="F184" s="43" t="n">
        <f>ROUND(D184*E184,0)</f>
        <v>27500</v>
      </c>
      <c r="G184" s="43" t="n">
        <v>14850</v>
      </c>
      <c r="H184" s="43" t="n">
        <f>F184-G184</f>
        <v>12650</v>
      </c>
      <c r="I184" s="41" t="str">
        <v>架空サンプル</v>
      </c>
    </row>
    <row r="185" ht="25" customHeight="1">
      <c r="A185" s="42" t="d">
        <v>2025-08-05T00:00:00.000Z</v>
      </c>
      <c r="B185" s="41" t="str">
        <v>農家</v>
      </c>
      <c r="C185" s="41" t="str">
        <v>野菜5kg箱</v>
      </c>
      <c r="D185" s="43" t="n">
        <v>22</v>
      </c>
      <c r="E185" s="43" t="n">
        <v>2000</v>
      </c>
      <c r="F185" s="43" t="n">
        <f>ROUND(D185*E185,0)</f>
        <v>44000</v>
      </c>
      <c r="G185" s="43" t="n">
        <v>26400</v>
      </c>
      <c r="H185" s="43" t="n">
        <f>F185-G185</f>
        <v>17600</v>
      </c>
      <c r="I185" s="41" t="str">
        <v>架空サンプル</v>
      </c>
    </row>
    <row r="186" ht="25" customHeight="1">
      <c r="A186" s="42" t="d">
        <v>2025-08-15T00:00:00.000Z</v>
      </c>
      <c r="B186" s="41" t="str">
        <v>農家</v>
      </c>
      <c r="C186" s="41" t="str">
        <v>野菜5kg箱</v>
      </c>
      <c r="D186" s="43" t="n">
        <v>27</v>
      </c>
      <c r="E186" s="43" t="n">
        <v>2000</v>
      </c>
      <c r="F186" s="43" t="n">
        <f>ROUND(D186*E186,0)</f>
        <v>54000</v>
      </c>
      <c r="G186" s="43" t="n">
        <v>32400</v>
      </c>
      <c r="H186" s="43" t="n">
        <f>F186-G186</f>
        <v>21600</v>
      </c>
      <c r="I186" s="41" t="str">
        <v>架空サンプル</v>
      </c>
    </row>
    <row r="187" ht="25" customHeight="1">
      <c r="A187" s="42" t="d">
        <v>2025-08-25T00:00:00.000Z</v>
      </c>
      <c r="B187" s="41" t="str">
        <v>農家</v>
      </c>
      <c r="C187" s="41" t="str">
        <v>野菜5kg箱</v>
      </c>
      <c r="D187" s="43" t="n">
        <v>32</v>
      </c>
      <c r="E187" s="43" t="n">
        <v>2000</v>
      </c>
      <c r="F187" s="43" t="n">
        <f>ROUND(D187*E187,0)</f>
        <v>64000</v>
      </c>
      <c r="G187" s="43" t="n">
        <v>38400</v>
      </c>
      <c r="H187" s="43" t="n">
        <f>F187-G187</f>
        <v>25600</v>
      </c>
      <c r="I187" s="41" t="str">
        <v>架空サンプル</v>
      </c>
    </row>
    <row r="188" ht="25" customHeight="1">
      <c r="A188" s="42" t="d">
        <v>2025-08-05T00:00:00.000Z</v>
      </c>
      <c r="B188" s="41" t="str">
        <v>農家</v>
      </c>
      <c r="C188" s="41" t="str">
        <v>トマト箱</v>
      </c>
      <c r="D188" s="43" t="n">
        <v>25</v>
      </c>
      <c r="E188" s="43" t="n">
        <v>1800</v>
      </c>
      <c r="F188" s="43" t="n">
        <f>ROUND(D188*E188,0)</f>
        <v>45000</v>
      </c>
      <c r="G188" s="43" t="n">
        <v>29700</v>
      </c>
      <c r="H188" s="43" t="n">
        <f>F188-G188</f>
        <v>15300</v>
      </c>
      <c r="I188" s="41" t="str">
        <v>架空サンプル</v>
      </c>
    </row>
    <row r="189" ht="25" customHeight="1">
      <c r="A189" s="42" t="d">
        <v>2025-08-15T00:00:00.000Z</v>
      </c>
      <c r="B189" s="41" t="str">
        <v>農家</v>
      </c>
      <c r="C189" s="41" t="str">
        <v>トマト箱</v>
      </c>
      <c r="D189" s="43" t="n">
        <v>30</v>
      </c>
      <c r="E189" s="43" t="n">
        <v>1800</v>
      </c>
      <c r="F189" s="43" t="n">
        <f>ROUND(D189*E189,0)</f>
        <v>54000</v>
      </c>
      <c r="G189" s="43" t="n">
        <v>35640</v>
      </c>
      <c r="H189" s="43" t="n">
        <f>F189-G189</f>
        <v>18360</v>
      </c>
      <c r="I189" s="41" t="str">
        <v>架空サンプル</v>
      </c>
    </row>
    <row r="190" ht="25" customHeight="1">
      <c r="A190" s="42" t="d">
        <v>2025-08-25T00:00:00.000Z</v>
      </c>
      <c r="B190" s="41" t="str">
        <v>農家</v>
      </c>
      <c r="C190" s="41" t="str">
        <v>トマト箱</v>
      </c>
      <c r="D190" s="43" t="n">
        <v>35</v>
      </c>
      <c r="E190" s="43" t="n">
        <v>1800</v>
      </c>
      <c r="F190" s="43" t="n">
        <f>ROUND(D190*E190,0)</f>
        <v>63000</v>
      </c>
      <c r="G190" s="43" t="n">
        <v>41580</v>
      </c>
      <c r="H190" s="43" t="n">
        <f>F190-G190</f>
        <v>21420</v>
      </c>
      <c r="I190" s="41" t="str">
        <v>架空サンプル</v>
      </c>
    </row>
    <row r="191" ht="25" customHeight="1">
      <c r="A191" s="42" t="d">
        <v>2025-08-05T00:00:00.000Z</v>
      </c>
      <c r="B191" s="41" t="str">
        <v>農家</v>
      </c>
      <c r="C191" s="41" t="str">
        <v>米5kg</v>
      </c>
      <c r="D191" s="43" t="n">
        <v>28</v>
      </c>
      <c r="E191" s="43" t="n">
        <v>3200</v>
      </c>
      <c r="F191" s="43" t="n">
        <f>ROUND(D191*E191,0)</f>
        <v>89600</v>
      </c>
      <c r="G191" s="43" t="n">
        <v>64512</v>
      </c>
      <c r="H191" s="43" t="n">
        <f>F191-G191</f>
        <v>25088</v>
      </c>
      <c r="I191" s="41" t="str">
        <v>架空サンプル</v>
      </c>
    </row>
    <row r="192" ht="25" customHeight="1">
      <c r="A192" s="42" t="d">
        <v>2025-08-15T00:00:00.000Z</v>
      </c>
      <c r="B192" s="41" t="str">
        <v>農家</v>
      </c>
      <c r="C192" s="41" t="str">
        <v>米5kg</v>
      </c>
      <c r="D192" s="43" t="n">
        <v>33</v>
      </c>
      <c r="E192" s="43" t="n">
        <v>3200</v>
      </c>
      <c r="F192" s="43" t="n">
        <f>ROUND(D192*E192,0)</f>
        <v>105600</v>
      </c>
      <c r="G192" s="43" t="n">
        <v>76032</v>
      </c>
      <c r="H192" s="43" t="n">
        <f>F192-G192</f>
        <v>29568</v>
      </c>
      <c r="I192" s="41" t="str">
        <v>架空サンプル</v>
      </c>
    </row>
    <row r="193" ht="25" customHeight="1">
      <c r="A193" s="42" t="d">
        <v>2025-08-25T00:00:00.000Z</v>
      </c>
      <c r="B193" s="41" t="str">
        <v>農家</v>
      </c>
      <c r="C193" s="41" t="str">
        <v>米5kg</v>
      </c>
      <c r="D193" s="43" t="n">
        <v>21</v>
      </c>
      <c r="E193" s="43" t="n">
        <v>3200</v>
      </c>
      <c r="F193" s="43" t="n">
        <f>ROUND(D193*E193,0)</f>
        <v>67200</v>
      </c>
      <c r="G193" s="43" t="n">
        <v>48384</v>
      </c>
      <c r="H193" s="43" t="n">
        <f>F193-G193</f>
        <v>18816</v>
      </c>
      <c r="I193" s="41" t="str">
        <v>架空サンプル</v>
      </c>
    </row>
    <row r="194" ht="25" customHeight="1">
      <c r="A194" s="42" t="d">
        <v>2025-08-05T00:00:00.000Z</v>
      </c>
      <c r="B194" s="41" t="str">
        <v>農家</v>
      </c>
      <c r="C194" s="41" t="str">
        <v>季節の果物</v>
      </c>
      <c r="D194" s="43" t="n">
        <v>31</v>
      </c>
      <c r="E194" s="43" t="n">
        <v>4000</v>
      </c>
      <c r="F194" s="43" t="n">
        <f>ROUND(D194*E194,0)</f>
        <v>124000</v>
      </c>
      <c r="G194" s="43" t="n">
        <v>59520</v>
      </c>
      <c r="H194" s="43" t="n">
        <f>F194-G194</f>
        <v>64480</v>
      </c>
      <c r="I194" s="41" t="str">
        <v>架空サンプル</v>
      </c>
    </row>
    <row r="195" ht="25" customHeight="1">
      <c r="A195" s="42" t="d">
        <v>2025-08-15T00:00:00.000Z</v>
      </c>
      <c r="B195" s="41" t="str">
        <v>農家</v>
      </c>
      <c r="C195" s="41" t="str">
        <v>季節の果物</v>
      </c>
      <c r="D195" s="43" t="n">
        <v>36</v>
      </c>
      <c r="E195" s="43" t="n">
        <v>4000</v>
      </c>
      <c r="F195" s="43" t="n">
        <f>ROUND(D195*E195,0)</f>
        <v>144000</v>
      </c>
      <c r="G195" s="43" t="n">
        <v>69120</v>
      </c>
      <c r="H195" s="43" t="n">
        <f>F195-G195</f>
        <v>74880</v>
      </c>
      <c r="I195" s="41" t="str">
        <v>架空サンプル</v>
      </c>
    </row>
    <row r="196" ht="25" customHeight="1">
      <c r="A196" s="42" t="d">
        <v>2025-08-25T00:00:00.000Z</v>
      </c>
      <c r="B196" s="41" t="str">
        <v>農家</v>
      </c>
      <c r="C196" s="41" t="str">
        <v>季節の果物</v>
      </c>
      <c r="D196" s="43" t="n">
        <v>24</v>
      </c>
      <c r="E196" s="43" t="n">
        <v>4000</v>
      </c>
      <c r="F196" s="43" t="n">
        <f>ROUND(D196*E196,0)</f>
        <v>96000</v>
      </c>
      <c r="G196" s="43" t="n">
        <v>46080</v>
      </c>
      <c r="H196" s="43" t="n">
        <f>F196-G196</f>
        <v>49920</v>
      </c>
      <c r="I196" s="41" t="str">
        <v>架空サンプル</v>
      </c>
    </row>
    <row r="197" ht="25" customHeight="1">
      <c r="A197" s="42" t="d">
        <v>2025-09-05T00:00:00.000Z</v>
      </c>
      <c r="B197" s="41" t="str">
        <v>木工所</v>
      </c>
      <c r="C197" s="41" t="str">
        <v>テーブル</v>
      </c>
      <c r="D197" s="43" t="n">
        <v>16</v>
      </c>
      <c r="E197" s="43" t="n">
        <v>50000</v>
      </c>
      <c r="F197" s="43" t="n">
        <f>ROUND(D197*E197,0)</f>
        <v>800000</v>
      </c>
      <c r="G197" s="43" t="n">
        <v>576000</v>
      </c>
      <c r="H197" s="43" t="n">
        <f>F197-G197</f>
        <v>224000</v>
      </c>
      <c r="I197" s="41" t="str">
        <v>架空サンプル</v>
      </c>
    </row>
    <row r="198" ht="25" customHeight="1">
      <c r="A198" s="42" t="d">
        <v>2025-09-15T00:00:00.000Z</v>
      </c>
      <c r="B198" s="41" t="str">
        <v>木工所</v>
      </c>
      <c r="C198" s="41" t="str">
        <v>テーブル</v>
      </c>
      <c r="D198" s="43" t="n">
        <v>4</v>
      </c>
      <c r="E198" s="43" t="n">
        <v>50000</v>
      </c>
      <c r="F198" s="43" t="n">
        <f>ROUND(D198*E198,0)</f>
        <v>200000</v>
      </c>
      <c r="G198" s="43" t="n">
        <v>144000</v>
      </c>
      <c r="H198" s="43" t="n">
        <f>F198-G198</f>
        <v>56000</v>
      </c>
      <c r="I198" s="41" t="str">
        <v>架空サンプル</v>
      </c>
    </row>
    <row r="199" ht="25" customHeight="1">
      <c r="A199" s="42" t="d">
        <v>2025-09-25T00:00:00.000Z</v>
      </c>
      <c r="B199" s="41" t="str">
        <v>木工所</v>
      </c>
      <c r="C199" s="41" t="str">
        <v>テーブル</v>
      </c>
      <c r="D199" s="43" t="n">
        <v>9</v>
      </c>
      <c r="E199" s="43" t="n">
        <v>50000</v>
      </c>
      <c r="F199" s="43" t="n">
        <f>ROUND(D199*E199,0)</f>
        <v>450000</v>
      </c>
      <c r="G199" s="43" t="n">
        <v>324000</v>
      </c>
      <c r="H199" s="43" t="n">
        <f>F199-G199</f>
        <v>126000</v>
      </c>
      <c r="I199" s="41" t="str">
        <v>架空サンプル</v>
      </c>
    </row>
    <row r="200" ht="25" customHeight="1">
      <c r="A200" s="42" t="d">
        <v>2025-09-05T00:00:00.000Z</v>
      </c>
      <c r="B200" s="41" t="str">
        <v>木工所</v>
      </c>
      <c r="C200" s="41" t="str">
        <v>椅子</v>
      </c>
      <c r="D200" s="43" t="n">
        <v>2</v>
      </c>
      <c r="E200" s="43" t="n">
        <v>15000</v>
      </c>
      <c r="F200" s="43" t="n">
        <f>ROUND(D200*E200,0)</f>
        <v>30000</v>
      </c>
      <c r="G200" s="43" t="n">
        <v>14400</v>
      </c>
      <c r="H200" s="43" t="n">
        <f>F200-G200</f>
        <v>15600</v>
      </c>
      <c r="I200" s="41" t="str">
        <v>架空サンプル</v>
      </c>
    </row>
    <row r="201" ht="25" customHeight="1">
      <c r="A201" s="42" t="d">
        <v>2025-09-15T00:00:00.000Z</v>
      </c>
      <c r="B201" s="41" t="str">
        <v>木工所</v>
      </c>
      <c r="C201" s="41" t="str">
        <v>椅子</v>
      </c>
      <c r="D201" s="43" t="n">
        <v>7</v>
      </c>
      <c r="E201" s="43" t="n">
        <v>15000</v>
      </c>
      <c r="F201" s="43" t="n">
        <f>ROUND(D201*E201,0)</f>
        <v>105000</v>
      </c>
      <c r="G201" s="43" t="n">
        <v>50400</v>
      </c>
      <c r="H201" s="43" t="n">
        <f>F201-G201</f>
        <v>54600</v>
      </c>
      <c r="I201" s="41" t="str">
        <v>架空サンプル</v>
      </c>
    </row>
    <row r="202" ht="25" customHeight="1">
      <c r="A202" s="42" t="d">
        <v>2025-09-25T00:00:00.000Z</v>
      </c>
      <c r="B202" s="41" t="str">
        <v>木工所</v>
      </c>
      <c r="C202" s="41" t="str">
        <v>椅子</v>
      </c>
      <c r="D202" s="43" t="n">
        <v>12</v>
      </c>
      <c r="E202" s="43" t="n">
        <v>15000</v>
      </c>
      <c r="F202" s="43" t="n">
        <f>ROUND(D202*E202,0)</f>
        <v>180000</v>
      </c>
      <c r="G202" s="43" t="n">
        <v>86400</v>
      </c>
      <c r="H202" s="43" t="n">
        <f>F202-G202</f>
        <v>93600</v>
      </c>
      <c r="I202" s="41" t="str">
        <v>架空サンプル</v>
      </c>
    </row>
    <row r="203" ht="25" customHeight="1">
      <c r="A203" s="42" t="d">
        <v>2025-09-05T00:00:00.000Z</v>
      </c>
      <c r="B203" s="41" t="str">
        <v>木工所</v>
      </c>
      <c r="C203" s="41" t="str">
        <v>収納棚</v>
      </c>
      <c r="D203" s="43" t="n">
        <v>5</v>
      </c>
      <c r="E203" s="43" t="n">
        <v>35000</v>
      </c>
      <c r="F203" s="43" t="n">
        <f>ROUND(D203*E203,0)</f>
        <v>175000</v>
      </c>
      <c r="G203" s="43" t="n">
        <v>94500</v>
      </c>
      <c r="H203" s="43" t="n">
        <f>F203-G203</f>
        <v>80500</v>
      </c>
      <c r="I203" s="41" t="str">
        <v>架空サンプル</v>
      </c>
    </row>
    <row r="204" ht="25" customHeight="1">
      <c r="A204" s="42" t="d">
        <v>2025-09-15T00:00:00.000Z</v>
      </c>
      <c r="B204" s="41" t="str">
        <v>木工所</v>
      </c>
      <c r="C204" s="41" t="str">
        <v>収納棚</v>
      </c>
      <c r="D204" s="43" t="n">
        <v>10</v>
      </c>
      <c r="E204" s="43" t="n">
        <v>35000</v>
      </c>
      <c r="F204" s="43" t="n">
        <f>ROUND(D204*E204,0)</f>
        <v>350000</v>
      </c>
      <c r="G204" s="43" t="n">
        <v>189000</v>
      </c>
      <c r="H204" s="43" t="n">
        <f>F204-G204</f>
        <v>161000</v>
      </c>
      <c r="I204" s="41" t="str">
        <v>架空サンプル</v>
      </c>
    </row>
    <row r="205" ht="25" customHeight="1">
      <c r="A205" s="42" t="d">
        <v>2025-09-25T00:00:00.000Z</v>
      </c>
      <c r="B205" s="41" t="str">
        <v>木工所</v>
      </c>
      <c r="C205" s="41" t="str">
        <v>収納棚</v>
      </c>
      <c r="D205" s="43" t="n">
        <v>15</v>
      </c>
      <c r="E205" s="43" t="n">
        <v>35000</v>
      </c>
      <c r="F205" s="43" t="n">
        <f>ROUND(D205*E205,0)</f>
        <v>525000</v>
      </c>
      <c r="G205" s="43" t="n">
        <v>283500</v>
      </c>
      <c r="H205" s="43" t="n">
        <f>F205-G205</f>
        <v>241500</v>
      </c>
      <c r="I205" s="41" t="str">
        <v>架空サンプル</v>
      </c>
    </row>
    <row r="206" ht="25" customHeight="1">
      <c r="A206" s="42" t="d">
        <v>2025-09-05T00:00:00.000Z</v>
      </c>
      <c r="B206" s="41" t="str">
        <v>木工所</v>
      </c>
      <c r="C206" s="41" t="str">
        <v>木製小物</v>
      </c>
      <c r="D206" s="43" t="n">
        <v>8</v>
      </c>
      <c r="E206" s="43" t="n">
        <v>2500</v>
      </c>
      <c r="F206" s="43" t="n">
        <f>ROUND(D206*E206,0)</f>
        <v>20000</v>
      </c>
      <c r="G206" s="43" t="n">
        <v>12000</v>
      </c>
      <c r="H206" s="43" t="n">
        <f>F206-G206</f>
        <v>8000</v>
      </c>
      <c r="I206" s="41" t="str">
        <v>架空サンプル</v>
      </c>
    </row>
    <row r="207" ht="25" customHeight="1">
      <c r="A207" s="42" t="d">
        <v>2025-09-15T00:00:00.000Z</v>
      </c>
      <c r="B207" s="41" t="str">
        <v>木工所</v>
      </c>
      <c r="C207" s="41" t="str">
        <v>木製小物</v>
      </c>
      <c r="D207" s="43" t="n">
        <v>13</v>
      </c>
      <c r="E207" s="43" t="n">
        <v>2500</v>
      </c>
      <c r="F207" s="43" t="n">
        <f>ROUND(D207*E207,0)</f>
        <v>32500</v>
      </c>
      <c r="G207" s="43" t="n">
        <v>19500</v>
      </c>
      <c r="H207" s="43" t="n">
        <f>F207-G207</f>
        <v>13000</v>
      </c>
      <c r="I207" s="41" t="str">
        <v>架空サンプル</v>
      </c>
    </row>
    <row r="208" ht="25" customHeight="1">
      <c r="A208" s="42" t="d">
        <v>2025-09-25T00:00:00.000Z</v>
      </c>
      <c r="B208" s="41" t="str">
        <v>木工所</v>
      </c>
      <c r="C208" s="41" t="str">
        <v>木製小物</v>
      </c>
      <c r="D208" s="43" t="n">
        <v>18</v>
      </c>
      <c r="E208" s="43" t="n">
        <v>2500</v>
      </c>
      <c r="F208" s="43" t="n">
        <f>ROUND(D208*E208,0)</f>
        <v>45000</v>
      </c>
      <c r="G208" s="43" t="n">
        <v>27000</v>
      </c>
      <c r="H208" s="43" t="n">
        <f>F208-G208</f>
        <v>18000</v>
      </c>
      <c r="I208" s="41" t="str">
        <v>架空サンプル</v>
      </c>
    </row>
    <row r="209" ht="25" customHeight="1">
      <c r="A209" s="42" t="d">
        <v>2025-09-05T00:00:00.000Z</v>
      </c>
      <c r="B209" s="41" t="str">
        <v>農家</v>
      </c>
      <c r="C209" s="41" t="str">
        <v>野菜5kg箱</v>
      </c>
      <c r="D209" s="43" t="n">
        <v>29</v>
      </c>
      <c r="E209" s="43" t="n">
        <v>2000</v>
      </c>
      <c r="F209" s="43" t="n">
        <f>ROUND(D209*E209,0)</f>
        <v>58000</v>
      </c>
      <c r="G209" s="43" t="n">
        <v>38280</v>
      </c>
      <c r="H209" s="43" t="n">
        <f>F209-G209</f>
        <v>19720</v>
      </c>
      <c r="I209" s="41" t="str">
        <v>架空サンプル</v>
      </c>
    </row>
    <row r="210" ht="25" customHeight="1">
      <c r="A210" s="42" t="d">
        <v>2025-09-15T00:00:00.000Z</v>
      </c>
      <c r="B210" s="41" t="str">
        <v>農家</v>
      </c>
      <c r="C210" s="41" t="str">
        <v>野菜5kg箱</v>
      </c>
      <c r="D210" s="43" t="n">
        <v>34</v>
      </c>
      <c r="E210" s="43" t="n">
        <v>2000</v>
      </c>
      <c r="F210" s="43" t="n">
        <f>ROUND(D210*E210,0)</f>
        <v>68000</v>
      </c>
      <c r="G210" s="43" t="n">
        <v>44880</v>
      </c>
      <c r="H210" s="43" t="n">
        <f>F210-G210</f>
        <v>23120</v>
      </c>
      <c r="I210" s="41" t="str">
        <v>架空サンプル</v>
      </c>
    </row>
    <row r="211" ht="25" customHeight="1">
      <c r="A211" s="42" t="d">
        <v>2025-09-25T00:00:00.000Z</v>
      </c>
      <c r="B211" s="41" t="str">
        <v>農家</v>
      </c>
      <c r="C211" s="41" t="str">
        <v>野菜5kg箱</v>
      </c>
      <c r="D211" s="43" t="n">
        <v>22</v>
      </c>
      <c r="E211" s="43" t="n">
        <v>2000</v>
      </c>
      <c r="F211" s="43" t="n">
        <f>ROUND(D211*E211,0)</f>
        <v>44000</v>
      </c>
      <c r="G211" s="43" t="n">
        <v>29040</v>
      </c>
      <c r="H211" s="43" t="n">
        <f>F211-G211</f>
        <v>14960</v>
      </c>
      <c r="I211" s="41" t="str">
        <v>架空サンプル</v>
      </c>
    </row>
    <row r="212" ht="25" customHeight="1">
      <c r="A212" s="42" t="d">
        <v>2025-09-05T00:00:00.000Z</v>
      </c>
      <c r="B212" s="41" t="str">
        <v>農家</v>
      </c>
      <c r="C212" s="41" t="str">
        <v>トマト箱</v>
      </c>
      <c r="D212" s="43" t="n">
        <v>32</v>
      </c>
      <c r="E212" s="43" t="n">
        <v>1800</v>
      </c>
      <c r="F212" s="43" t="n">
        <f>ROUND(D212*E212,0)</f>
        <v>57600</v>
      </c>
      <c r="G212" s="43" t="n">
        <v>41472</v>
      </c>
      <c r="H212" s="43" t="n">
        <f>F212-G212</f>
        <v>16128</v>
      </c>
      <c r="I212" s="41" t="str">
        <v>架空サンプル</v>
      </c>
    </row>
    <row r="213" ht="25" customHeight="1">
      <c r="A213" s="42" t="d">
        <v>2025-09-15T00:00:00.000Z</v>
      </c>
      <c r="B213" s="41" t="str">
        <v>農家</v>
      </c>
      <c r="C213" s="41" t="str">
        <v>トマト箱</v>
      </c>
      <c r="D213" s="43" t="n">
        <v>20</v>
      </c>
      <c r="E213" s="43" t="n">
        <v>1800</v>
      </c>
      <c r="F213" s="43" t="n">
        <f>ROUND(D213*E213,0)</f>
        <v>36000</v>
      </c>
      <c r="G213" s="43" t="n">
        <v>25920</v>
      </c>
      <c r="H213" s="43" t="n">
        <f>F213-G213</f>
        <v>10080</v>
      </c>
      <c r="I213" s="41" t="str">
        <v>架空サンプル</v>
      </c>
    </row>
    <row r="214" ht="25" customHeight="1">
      <c r="A214" s="42" t="d">
        <v>2025-09-25T00:00:00.000Z</v>
      </c>
      <c r="B214" s="41" t="str">
        <v>農家</v>
      </c>
      <c r="C214" s="41" t="str">
        <v>トマト箱</v>
      </c>
      <c r="D214" s="43" t="n">
        <v>25</v>
      </c>
      <c r="E214" s="43" t="n">
        <v>1800</v>
      </c>
      <c r="F214" s="43" t="n">
        <f>ROUND(D214*E214,0)</f>
        <v>45000</v>
      </c>
      <c r="G214" s="43" t="n">
        <v>32400</v>
      </c>
      <c r="H214" s="43" t="n">
        <f>F214-G214</f>
        <v>12600</v>
      </c>
      <c r="I214" s="41" t="str">
        <v>架空サンプル</v>
      </c>
    </row>
    <row r="215" ht="25" customHeight="1">
      <c r="A215" s="42" t="d">
        <v>2025-09-05T00:00:00.000Z</v>
      </c>
      <c r="B215" s="41" t="str">
        <v>農家</v>
      </c>
      <c r="C215" s="41" t="str">
        <v>米5kg</v>
      </c>
      <c r="D215" s="43" t="n">
        <v>35</v>
      </c>
      <c r="E215" s="43" t="n">
        <v>3200</v>
      </c>
      <c r="F215" s="43" t="n">
        <f>ROUND(D215*E215,0)</f>
        <v>112000</v>
      </c>
      <c r="G215" s="43" t="n">
        <v>53760</v>
      </c>
      <c r="H215" s="43" t="n">
        <f>F215-G215</f>
        <v>58240</v>
      </c>
      <c r="I215" s="41" t="str">
        <v>架空サンプル</v>
      </c>
    </row>
    <row r="216" ht="25" customHeight="1">
      <c r="A216" s="42" t="d">
        <v>2025-09-15T00:00:00.000Z</v>
      </c>
      <c r="B216" s="41" t="str">
        <v>農家</v>
      </c>
      <c r="C216" s="41" t="str">
        <v>米5kg</v>
      </c>
      <c r="D216" s="43" t="n">
        <v>23</v>
      </c>
      <c r="E216" s="43" t="n">
        <v>3200</v>
      </c>
      <c r="F216" s="43" t="n">
        <f>ROUND(D216*E216,0)</f>
        <v>73600</v>
      </c>
      <c r="G216" s="43" t="n">
        <v>35328</v>
      </c>
      <c r="H216" s="43" t="n">
        <f>F216-G216</f>
        <v>38272</v>
      </c>
      <c r="I216" s="41" t="str">
        <v>架空サンプル</v>
      </c>
    </row>
    <row r="217" ht="25" customHeight="1">
      <c r="A217" s="42" t="d">
        <v>2025-09-25T00:00:00.000Z</v>
      </c>
      <c r="B217" s="41" t="str">
        <v>農家</v>
      </c>
      <c r="C217" s="41" t="str">
        <v>米5kg</v>
      </c>
      <c r="D217" s="43" t="n">
        <v>28</v>
      </c>
      <c r="E217" s="43" t="n">
        <v>3200</v>
      </c>
      <c r="F217" s="43" t="n">
        <f>ROUND(D217*E217,0)</f>
        <v>89600</v>
      </c>
      <c r="G217" s="43" t="n">
        <v>43008</v>
      </c>
      <c r="H217" s="43" t="n">
        <f>F217-G217</f>
        <v>46592</v>
      </c>
      <c r="I217" s="41" t="str">
        <v>架空サンプル</v>
      </c>
    </row>
    <row r="218" ht="25" customHeight="1">
      <c r="A218" s="42" t="d">
        <v>2025-09-05T00:00:00.000Z</v>
      </c>
      <c r="B218" s="41" t="str">
        <v>農家</v>
      </c>
      <c r="C218" s="41" t="str">
        <v>季節の果物</v>
      </c>
      <c r="D218" s="43" t="n">
        <v>21</v>
      </c>
      <c r="E218" s="43" t="n">
        <v>4000</v>
      </c>
      <c r="F218" s="43" t="n">
        <f>ROUND(D218*E218,0)</f>
        <v>84000</v>
      </c>
      <c r="G218" s="43" t="n">
        <v>45360</v>
      </c>
      <c r="H218" s="43" t="n">
        <f>F218-G218</f>
        <v>38640</v>
      </c>
      <c r="I218" s="41" t="str">
        <v>架空サンプル</v>
      </c>
    </row>
    <row r="219" ht="25" customHeight="1">
      <c r="A219" s="42" t="d">
        <v>2025-09-15T00:00:00.000Z</v>
      </c>
      <c r="B219" s="41" t="str">
        <v>農家</v>
      </c>
      <c r="C219" s="41" t="str">
        <v>季節の果物</v>
      </c>
      <c r="D219" s="43" t="n">
        <v>26</v>
      </c>
      <c r="E219" s="43" t="n">
        <v>4000</v>
      </c>
      <c r="F219" s="43" t="n">
        <f>ROUND(D219*E219,0)</f>
        <v>104000</v>
      </c>
      <c r="G219" s="43" t="n">
        <v>56160</v>
      </c>
      <c r="H219" s="43" t="n">
        <f>F219-G219</f>
        <v>47840</v>
      </c>
      <c r="I219" s="41" t="str">
        <v>架空サンプル</v>
      </c>
    </row>
    <row r="220" ht="25" customHeight="1">
      <c r="A220" s="42" t="d">
        <v>2025-09-25T00:00:00.000Z</v>
      </c>
      <c r="B220" s="41" t="str">
        <v>農家</v>
      </c>
      <c r="C220" s="41" t="str">
        <v>季節の果物</v>
      </c>
      <c r="D220" s="43" t="n">
        <v>31</v>
      </c>
      <c r="E220" s="43" t="n">
        <v>4000</v>
      </c>
      <c r="F220" s="43" t="n">
        <f>ROUND(D220*E220,0)</f>
        <v>124000</v>
      </c>
      <c r="G220" s="43" t="n">
        <v>66960</v>
      </c>
      <c r="H220" s="43" t="n">
        <f>F220-G220</f>
        <v>57040</v>
      </c>
      <c r="I220" s="41" t="str">
        <v>架空サンプル</v>
      </c>
    </row>
    <row r="221" ht="25" customHeight="1">
      <c r="A221" s="42" t="d">
        <v>2025-10-05T00:00:00.000Z</v>
      </c>
      <c r="B221" s="41" t="str">
        <v>木工所</v>
      </c>
      <c r="C221" s="41" t="str">
        <v>テーブル</v>
      </c>
      <c r="D221" s="43" t="n">
        <v>6</v>
      </c>
      <c r="E221" s="43" t="n">
        <v>50000</v>
      </c>
      <c r="F221" s="43" t="n">
        <f>ROUND(D221*E221,0)</f>
        <v>300000</v>
      </c>
      <c r="G221" s="43" t="n">
        <v>144000</v>
      </c>
      <c r="H221" s="43" t="n">
        <f>F221-G221</f>
        <v>156000</v>
      </c>
      <c r="I221" s="41" t="str">
        <v>架空サンプル</v>
      </c>
    </row>
    <row r="222" ht="25" customHeight="1">
      <c r="A222" s="42" t="d">
        <v>2025-10-15T00:00:00.000Z</v>
      </c>
      <c r="B222" s="41" t="str">
        <v>木工所</v>
      </c>
      <c r="C222" s="41" t="str">
        <v>テーブル</v>
      </c>
      <c r="D222" s="43" t="n">
        <v>11</v>
      </c>
      <c r="E222" s="43" t="n">
        <v>50000</v>
      </c>
      <c r="F222" s="43" t="n">
        <f>ROUND(D222*E222,0)</f>
        <v>550000</v>
      </c>
      <c r="G222" s="43" t="n">
        <v>264000</v>
      </c>
      <c r="H222" s="43" t="n">
        <f>F222-G222</f>
        <v>286000</v>
      </c>
      <c r="I222" s="41" t="str">
        <v>架空サンプル</v>
      </c>
    </row>
    <row r="223" ht="25" customHeight="1">
      <c r="A223" s="42" t="d">
        <v>2025-10-25T00:00:00.000Z</v>
      </c>
      <c r="B223" s="41" t="str">
        <v>木工所</v>
      </c>
      <c r="C223" s="41" t="str">
        <v>テーブル</v>
      </c>
      <c r="D223" s="43" t="n">
        <v>16</v>
      </c>
      <c r="E223" s="43" t="n">
        <v>50000</v>
      </c>
      <c r="F223" s="43" t="n">
        <f>ROUND(D223*E223,0)</f>
        <v>800000</v>
      </c>
      <c r="G223" s="43" t="n">
        <v>384000</v>
      </c>
      <c r="H223" s="43" t="n">
        <f>F223-G223</f>
        <v>416000</v>
      </c>
      <c r="I223" s="41" t="str">
        <v>架空サンプル</v>
      </c>
    </row>
    <row r="224" ht="25" customHeight="1">
      <c r="A224" s="42" t="d">
        <v>2025-10-05T00:00:00.000Z</v>
      </c>
      <c r="B224" s="41" t="str">
        <v>木工所</v>
      </c>
      <c r="C224" s="41" t="str">
        <v>椅子</v>
      </c>
      <c r="D224" s="43" t="n">
        <v>9</v>
      </c>
      <c r="E224" s="43" t="n">
        <v>15000</v>
      </c>
      <c r="F224" s="43" t="n">
        <f>ROUND(D224*E224,0)</f>
        <v>135000</v>
      </c>
      <c r="G224" s="43" t="n">
        <v>72900</v>
      </c>
      <c r="H224" s="43" t="n">
        <f>F224-G224</f>
        <v>62100</v>
      </c>
      <c r="I224" s="41" t="str">
        <v>架空サンプル</v>
      </c>
    </row>
    <row r="225" ht="25" customHeight="1">
      <c r="A225" s="42" t="d">
        <v>2025-10-15T00:00:00.000Z</v>
      </c>
      <c r="B225" s="41" t="str">
        <v>木工所</v>
      </c>
      <c r="C225" s="41" t="str">
        <v>椅子</v>
      </c>
      <c r="D225" s="43" t="n">
        <v>14</v>
      </c>
      <c r="E225" s="43" t="n">
        <v>15000</v>
      </c>
      <c r="F225" s="43" t="n">
        <f>ROUND(D225*E225,0)</f>
        <v>210000</v>
      </c>
      <c r="G225" s="43" t="n">
        <v>113400</v>
      </c>
      <c r="H225" s="43" t="n">
        <f>F225-G225</f>
        <v>96600</v>
      </c>
      <c r="I225" s="41" t="str">
        <v>架空サンプル</v>
      </c>
    </row>
    <row r="226" ht="25" customHeight="1">
      <c r="A226" s="42" t="d">
        <v>2025-10-25T00:00:00.000Z</v>
      </c>
      <c r="B226" s="41" t="str">
        <v>木工所</v>
      </c>
      <c r="C226" s="41" t="str">
        <v>椅子</v>
      </c>
      <c r="D226" s="43" t="n">
        <v>2</v>
      </c>
      <c r="E226" s="43" t="n">
        <v>15000</v>
      </c>
      <c r="F226" s="43" t="n">
        <f>ROUND(D226*E226,0)</f>
        <v>30000</v>
      </c>
      <c r="G226" s="43" t="n">
        <v>16200</v>
      </c>
      <c r="H226" s="43" t="n">
        <f>F226-G226</f>
        <v>13800</v>
      </c>
      <c r="I226" s="41" t="str">
        <v>架空サンプル</v>
      </c>
    </row>
    <row r="227" ht="25" customHeight="1">
      <c r="A227" s="42" t="d">
        <v>2025-10-05T00:00:00.000Z</v>
      </c>
      <c r="B227" s="41" t="str">
        <v>木工所</v>
      </c>
      <c r="C227" s="41" t="str">
        <v>収納棚</v>
      </c>
      <c r="D227" s="43" t="n">
        <v>12</v>
      </c>
      <c r="E227" s="43" t="n">
        <v>35000</v>
      </c>
      <c r="F227" s="43" t="n">
        <f>ROUND(D227*E227,0)</f>
        <v>420000</v>
      </c>
      <c r="G227" s="43" t="n">
        <v>252000</v>
      </c>
      <c r="H227" s="43" t="n">
        <f>F227-G227</f>
        <v>168000</v>
      </c>
      <c r="I227" s="41" t="str">
        <v>架空サンプル</v>
      </c>
    </row>
    <row r="228" ht="25" customHeight="1">
      <c r="A228" s="42" t="d">
        <v>2025-10-15T00:00:00.000Z</v>
      </c>
      <c r="B228" s="41" t="str">
        <v>木工所</v>
      </c>
      <c r="C228" s="41" t="str">
        <v>収納棚</v>
      </c>
      <c r="D228" s="43" t="n">
        <v>17</v>
      </c>
      <c r="E228" s="43" t="n">
        <v>35000</v>
      </c>
      <c r="F228" s="43" t="n">
        <f>ROUND(D228*E228,0)</f>
        <v>595000</v>
      </c>
      <c r="G228" s="43" t="n">
        <v>357000</v>
      </c>
      <c r="H228" s="43" t="n">
        <f>F228-G228</f>
        <v>238000</v>
      </c>
      <c r="I228" s="41" t="str">
        <v>架空サンプル</v>
      </c>
    </row>
    <row r="229" ht="25" customHeight="1">
      <c r="A229" s="42" t="d">
        <v>2025-10-25T00:00:00.000Z</v>
      </c>
      <c r="B229" s="41" t="str">
        <v>木工所</v>
      </c>
      <c r="C229" s="41" t="str">
        <v>収納棚</v>
      </c>
      <c r="D229" s="43" t="n">
        <v>5</v>
      </c>
      <c r="E229" s="43" t="n">
        <v>35000</v>
      </c>
      <c r="F229" s="43" t="n">
        <f>ROUND(D229*E229,0)</f>
        <v>175000</v>
      </c>
      <c r="G229" s="43" t="n">
        <v>105000</v>
      </c>
      <c r="H229" s="43" t="n">
        <f>F229-G229</f>
        <v>70000</v>
      </c>
      <c r="I229" s="41" t="str">
        <v>架空サンプル</v>
      </c>
    </row>
    <row r="230" ht="25" customHeight="1">
      <c r="A230" s="42" t="d">
        <v>2025-10-05T00:00:00.000Z</v>
      </c>
      <c r="B230" s="41" t="str">
        <v>木工所</v>
      </c>
      <c r="C230" s="41" t="str">
        <v>木製小物</v>
      </c>
      <c r="D230" s="43" t="n">
        <v>15</v>
      </c>
      <c r="E230" s="43" t="n">
        <v>2500</v>
      </c>
      <c r="F230" s="43" t="n">
        <f>ROUND(D230*E230,0)</f>
        <v>37500</v>
      </c>
      <c r="G230" s="43" t="n">
        <v>24750</v>
      </c>
      <c r="H230" s="43" t="n">
        <f>F230-G230</f>
        <v>12750</v>
      </c>
      <c r="I230" s="41" t="str">
        <v>架空サンプル</v>
      </c>
    </row>
    <row r="231" ht="25" customHeight="1">
      <c r="A231" s="42" t="d">
        <v>2025-10-15T00:00:00.000Z</v>
      </c>
      <c r="B231" s="41" t="str">
        <v>木工所</v>
      </c>
      <c r="C231" s="41" t="str">
        <v>木製小物</v>
      </c>
      <c r="D231" s="43" t="n">
        <v>3</v>
      </c>
      <c r="E231" s="43" t="n">
        <v>2500</v>
      </c>
      <c r="F231" s="43" t="n">
        <f>ROUND(D231*E231,0)</f>
        <v>7500</v>
      </c>
      <c r="G231" s="43" t="n">
        <v>4950</v>
      </c>
      <c r="H231" s="43" t="n">
        <f>F231-G231</f>
        <v>2550</v>
      </c>
      <c r="I231" s="41" t="str">
        <v>架空サンプル</v>
      </c>
    </row>
    <row r="232" ht="25" customHeight="1">
      <c r="A232" s="42" t="d">
        <v>2025-10-25T00:00:00.000Z</v>
      </c>
      <c r="B232" s="41" t="str">
        <v>木工所</v>
      </c>
      <c r="C232" s="41" t="str">
        <v>木製小物</v>
      </c>
      <c r="D232" s="43" t="n">
        <v>8</v>
      </c>
      <c r="E232" s="43" t="n">
        <v>2500</v>
      </c>
      <c r="F232" s="43" t="n">
        <f>ROUND(D232*E232,0)</f>
        <v>20000</v>
      </c>
      <c r="G232" s="43" t="n">
        <v>13200</v>
      </c>
      <c r="H232" s="43" t="n">
        <f>F232-G232</f>
        <v>6800</v>
      </c>
      <c r="I232" s="41" t="str">
        <v>架空サンプル</v>
      </c>
    </row>
    <row r="233" ht="25" customHeight="1">
      <c r="A233" s="42" t="d">
        <v>2025-10-05T00:00:00.000Z</v>
      </c>
      <c r="B233" s="41" t="str">
        <v>農家</v>
      </c>
      <c r="C233" s="41" t="str">
        <v>野菜5kg箱</v>
      </c>
      <c r="D233" s="43" t="n">
        <v>36</v>
      </c>
      <c r="E233" s="43" t="n">
        <v>2000</v>
      </c>
      <c r="F233" s="43" t="n">
        <f>ROUND(D233*E233,0)</f>
        <v>72000</v>
      </c>
      <c r="G233" s="43" t="n">
        <v>51840</v>
      </c>
      <c r="H233" s="43" t="n">
        <f>F233-G233</f>
        <v>20160</v>
      </c>
      <c r="I233" s="41" t="str">
        <v>架空サンプル</v>
      </c>
    </row>
    <row r="234" ht="25" customHeight="1">
      <c r="A234" s="42" t="d">
        <v>2025-10-15T00:00:00.000Z</v>
      </c>
      <c r="B234" s="41" t="str">
        <v>農家</v>
      </c>
      <c r="C234" s="41" t="str">
        <v>野菜5kg箱</v>
      </c>
      <c r="D234" s="43" t="n">
        <v>24</v>
      </c>
      <c r="E234" s="43" t="n">
        <v>2000</v>
      </c>
      <c r="F234" s="43" t="n">
        <f>ROUND(D234*E234,0)</f>
        <v>48000</v>
      </c>
      <c r="G234" s="43" t="n">
        <v>34560</v>
      </c>
      <c r="H234" s="43" t="n">
        <f>F234-G234</f>
        <v>13440</v>
      </c>
      <c r="I234" s="41" t="str">
        <v>架空サンプル</v>
      </c>
    </row>
    <row r="235" ht="25" customHeight="1">
      <c r="A235" s="42" t="d">
        <v>2025-10-25T00:00:00.000Z</v>
      </c>
      <c r="B235" s="41" t="str">
        <v>農家</v>
      </c>
      <c r="C235" s="41" t="str">
        <v>野菜5kg箱</v>
      </c>
      <c r="D235" s="43" t="n">
        <v>29</v>
      </c>
      <c r="E235" s="43" t="n">
        <v>2000</v>
      </c>
      <c r="F235" s="43" t="n">
        <f>ROUND(D235*E235,0)</f>
        <v>58000</v>
      </c>
      <c r="G235" s="43" t="n">
        <v>41760</v>
      </c>
      <c r="H235" s="43" t="n">
        <f>F235-G235</f>
        <v>16240</v>
      </c>
      <c r="I235" s="41" t="str">
        <v>架空サンプル</v>
      </c>
    </row>
    <row r="236" ht="25" customHeight="1">
      <c r="A236" s="42" t="d">
        <v>2025-10-05T00:00:00.000Z</v>
      </c>
      <c r="B236" s="41" t="str">
        <v>農家</v>
      </c>
      <c r="C236" s="41" t="str">
        <v>トマト箱</v>
      </c>
      <c r="D236" s="43" t="n">
        <v>22</v>
      </c>
      <c r="E236" s="43" t="n">
        <v>1800</v>
      </c>
      <c r="F236" s="43" t="n">
        <f>ROUND(D236*E236,0)</f>
        <v>39600</v>
      </c>
      <c r="G236" s="43" t="n">
        <v>19008</v>
      </c>
      <c r="H236" s="43" t="n">
        <f>F236-G236</f>
        <v>20592</v>
      </c>
      <c r="I236" s="41" t="str">
        <v>架空サンプル</v>
      </c>
    </row>
    <row r="237" ht="25" customHeight="1">
      <c r="A237" s="42" t="d">
        <v>2025-10-15T00:00:00.000Z</v>
      </c>
      <c r="B237" s="41" t="str">
        <v>農家</v>
      </c>
      <c r="C237" s="41" t="str">
        <v>トマト箱</v>
      </c>
      <c r="D237" s="43" t="n">
        <v>27</v>
      </c>
      <c r="E237" s="43" t="n">
        <v>1800</v>
      </c>
      <c r="F237" s="43" t="n">
        <f>ROUND(D237*E237,0)</f>
        <v>48600</v>
      </c>
      <c r="G237" s="43" t="n">
        <v>23328</v>
      </c>
      <c r="H237" s="43" t="n">
        <f>F237-G237</f>
        <v>25272</v>
      </c>
      <c r="I237" s="41" t="str">
        <v>架空サンプル</v>
      </c>
    </row>
    <row r="238" ht="25" customHeight="1">
      <c r="A238" s="42" t="d">
        <v>2025-10-25T00:00:00.000Z</v>
      </c>
      <c r="B238" s="41" t="str">
        <v>農家</v>
      </c>
      <c r="C238" s="41" t="str">
        <v>トマト箱</v>
      </c>
      <c r="D238" s="43" t="n">
        <v>32</v>
      </c>
      <c r="E238" s="43" t="n">
        <v>1800</v>
      </c>
      <c r="F238" s="43" t="n">
        <f>ROUND(D238*E238,0)</f>
        <v>57600</v>
      </c>
      <c r="G238" s="43" t="n">
        <v>27648</v>
      </c>
      <c r="H238" s="43" t="n">
        <f>F238-G238</f>
        <v>29952</v>
      </c>
      <c r="I238" s="41" t="str">
        <v>架空サンプル</v>
      </c>
    </row>
    <row r="239" ht="25" customHeight="1">
      <c r="A239" s="42" t="d">
        <v>2025-10-05T00:00:00.000Z</v>
      </c>
      <c r="B239" s="41" t="str">
        <v>農家</v>
      </c>
      <c r="C239" s="41" t="str">
        <v>米5kg</v>
      </c>
      <c r="D239" s="43" t="n">
        <v>25</v>
      </c>
      <c r="E239" s="43" t="n">
        <v>3200</v>
      </c>
      <c r="F239" s="43" t="n">
        <f>ROUND(D239*E239,0)</f>
        <v>80000</v>
      </c>
      <c r="G239" s="43" t="n">
        <v>43200</v>
      </c>
      <c r="H239" s="43" t="n">
        <f>F239-G239</f>
        <v>36800</v>
      </c>
      <c r="I239" s="41" t="str">
        <v>架空サンプル</v>
      </c>
    </row>
    <row r="240" ht="25" customHeight="1">
      <c r="A240" s="42" t="d">
        <v>2025-10-15T00:00:00.000Z</v>
      </c>
      <c r="B240" s="41" t="str">
        <v>農家</v>
      </c>
      <c r="C240" s="41" t="str">
        <v>米5kg</v>
      </c>
      <c r="D240" s="43" t="n">
        <v>30</v>
      </c>
      <c r="E240" s="43" t="n">
        <v>3200</v>
      </c>
      <c r="F240" s="43" t="n">
        <f>ROUND(D240*E240,0)</f>
        <v>96000</v>
      </c>
      <c r="G240" s="43" t="n">
        <v>51840</v>
      </c>
      <c r="H240" s="43" t="n">
        <f>F240-G240</f>
        <v>44160</v>
      </c>
      <c r="I240" s="41" t="str">
        <v>架空サンプル</v>
      </c>
    </row>
    <row r="241" ht="25" customHeight="1">
      <c r="A241" s="42" t="d">
        <v>2025-10-25T00:00:00.000Z</v>
      </c>
      <c r="B241" s="41" t="str">
        <v>農家</v>
      </c>
      <c r="C241" s="41" t="str">
        <v>米5kg</v>
      </c>
      <c r="D241" s="43" t="n">
        <v>35</v>
      </c>
      <c r="E241" s="43" t="n">
        <v>3200</v>
      </c>
      <c r="F241" s="43" t="n">
        <f>ROUND(D241*E241,0)</f>
        <v>112000</v>
      </c>
      <c r="G241" s="43" t="n">
        <v>60480</v>
      </c>
      <c r="H241" s="43" t="n">
        <f>F241-G241</f>
        <v>51520</v>
      </c>
      <c r="I241" s="41" t="str">
        <v>架空サンプル</v>
      </c>
    </row>
    <row r="242" ht="25" customHeight="1">
      <c r="A242" s="42" t="d">
        <v>2025-10-05T00:00:00.000Z</v>
      </c>
      <c r="B242" s="41" t="str">
        <v>農家</v>
      </c>
      <c r="C242" s="41" t="str">
        <v>季節の果物</v>
      </c>
      <c r="D242" s="43" t="n">
        <v>28</v>
      </c>
      <c r="E242" s="43" t="n">
        <v>4000</v>
      </c>
      <c r="F242" s="43" t="n">
        <f>ROUND(D242*E242,0)</f>
        <v>112000</v>
      </c>
      <c r="G242" s="43" t="n">
        <v>67200</v>
      </c>
      <c r="H242" s="43" t="n">
        <f>F242-G242</f>
        <v>44800</v>
      </c>
      <c r="I242" s="41" t="str">
        <v>架空サンプル</v>
      </c>
    </row>
    <row r="243" ht="25" customHeight="1">
      <c r="A243" s="42" t="d">
        <v>2025-10-15T00:00:00.000Z</v>
      </c>
      <c r="B243" s="41" t="str">
        <v>農家</v>
      </c>
      <c r="C243" s="41" t="str">
        <v>季節の果物</v>
      </c>
      <c r="D243" s="43" t="n">
        <v>33</v>
      </c>
      <c r="E243" s="43" t="n">
        <v>4000</v>
      </c>
      <c r="F243" s="43" t="n">
        <f>ROUND(D243*E243,0)</f>
        <v>132000</v>
      </c>
      <c r="G243" s="43" t="n">
        <v>79200</v>
      </c>
      <c r="H243" s="43" t="n">
        <f>F243-G243</f>
        <v>52800</v>
      </c>
      <c r="I243" s="41" t="str">
        <v>架空サンプル</v>
      </c>
    </row>
    <row r="244" ht="25" customHeight="1">
      <c r="A244" s="42" t="d">
        <v>2025-10-25T00:00:00.000Z</v>
      </c>
      <c r="B244" s="41" t="str">
        <v>農家</v>
      </c>
      <c r="C244" s="41" t="str">
        <v>季節の果物</v>
      </c>
      <c r="D244" s="43" t="n">
        <v>21</v>
      </c>
      <c r="E244" s="43" t="n">
        <v>4000</v>
      </c>
      <c r="F244" s="43" t="n">
        <f>ROUND(D244*E244,0)</f>
        <v>84000</v>
      </c>
      <c r="G244" s="43" t="n">
        <v>50400</v>
      </c>
      <c r="H244" s="43" t="n">
        <f>F244-G244</f>
        <v>33600</v>
      </c>
      <c r="I244" s="41" t="str">
        <v>架空サンプル</v>
      </c>
    </row>
    <row r="245" ht="25" customHeight="1">
      <c r="A245" s="42" t="d">
        <v>2025-11-05T00:00:00.000Z</v>
      </c>
      <c r="B245" s="41" t="str">
        <v>木工所</v>
      </c>
      <c r="C245" s="41" t="str">
        <v>テーブル</v>
      </c>
      <c r="D245" s="43" t="n">
        <v>13</v>
      </c>
      <c r="E245" s="43" t="n">
        <v>50000</v>
      </c>
      <c r="F245" s="43" t="n">
        <f>ROUND(D245*E245,0)</f>
        <v>650000</v>
      </c>
      <c r="G245" s="43" t="n">
        <v>351000</v>
      </c>
      <c r="H245" s="43" t="n">
        <f>F245-G245</f>
        <v>299000</v>
      </c>
      <c r="I245" s="41" t="str">
        <v>架空サンプル</v>
      </c>
    </row>
    <row r="246" ht="25" customHeight="1">
      <c r="A246" s="42" t="d">
        <v>2025-11-15T00:00:00.000Z</v>
      </c>
      <c r="B246" s="41" t="str">
        <v>木工所</v>
      </c>
      <c r="C246" s="41" t="str">
        <v>テーブル</v>
      </c>
      <c r="D246" s="43" t="n">
        <v>18</v>
      </c>
      <c r="E246" s="43" t="n">
        <v>50000</v>
      </c>
      <c r="F246" s="43" t="n">
        <f>ROUND(D246*E246,0)</f>
        <v>900000</v>
      </c>
      <c r="G246" s="43" t="n">
        <v>486000</v>
      </c>
      <c r="H246" s="43" t="n">
        <f>F246-G246</f>
        <v>414000</v>
      </c>
      <c r="I246" s="41" t="str">
        <v>架空サンプル</v>
      </c>
    </row>
    <row r="247" ht="25" customHeight="1">
      <c r="A247" s="42" t="d">
        <v>2025-11-25T00:00:00.000Z</v>
      </c>
      <c r="B247" s="41" t="str">
        <v>木工所</v>
      </c>
      <c r="C247" s="41" t="str">
        <v>テーブル</v>
      </c>
      <c r="D247" s="43" t="n">
        <v>6</v>
      </c>
      <c r="E247" s="43" t="n">
        <v>50000</v>
      </c>
      <c r="F247" s="43" t="n">
        <f>ROUND(D247*E247,0)</f>
        <v>300000</v>
      </c>
      <c r="G247" s="43" t="n">
        <v>162000</v>
      </c>
      <c r="H247" s="43" t="n">
        <f>F247-G247</f>
        <v>138000</v>
      </c>
      <c r="I247" s="41" t="str">
        <v>架空サンプル</v>
      </c>
    </row>
    <row r="248" ht="25" customHeight="1">
      <c r="A248" s="42" t="d">
        <v>2025-11-05T00:00:00.000Z</v>
      </c>
      <c r="B248" s="41" t="str">
        <v>木工所</v>
      </c>
      <c r="C248" s="41" t="str">
        <v>椅子</v>
      </c>
      <c r="D248" s="43" t="n">
        <v>16</v>
      </c>
      <c r="E248" s="43" t="n">
        <v>15000</v>
      </c>
      <c r="F248" s="43" t="n">
        <f>ROUND(D248*E248,0)</f>
        <v>240000</v>
      </c>
      <c r="G248" s="43" t="n">
        <v>144000</v>
      </c>
      <c r="H248" s="43" t="n">
        <f>F248-G248</f>
        <v>96000</v>
      </c>
      <c r="I248" s="41" t="str">
        <v>架空サンプル</v>
      </c>
    </row>
    <row r="249" ht="25" customHeight="1">
      <c r="A249" s="42" t="d">
        <v>2025-11-15T00:00:00.000Z</v>
      </c>
      <c r="B249" s="41" t="str">
        <v>木工所</v>
      </c>
      <c r="C249" s="41" t="str">
        <v>椅子</v>
      </c>
      <c r="D249" s="43" t="n">
        <v>4</v>
      </c>
      <c r="E249" s="43" t="n">
        <v>15000</v>
      </c>
      <c r="F249" s="43" t="n">
        <f>ROUND(D249*E249,0)</f>
        <v>60000</v>
      </c>
      <c r="G249" s="43" t="n">
        <v>36000</v>
      </c>
      <c r="H249" s="43" t="n">
        <f>F249-G249</f>
        <v>24000</v>
      </c>
      <c r="I249" s="41" t="str">
        <v>架空サンプル</v>
      </c>
    </row>
    <row r="250" ht="25" customHeight="1">
      <c r="A250" s="42" t="d">
        <v>2025-11-25T00:00:00.000Z</v>
      </c>
      <c r="B250" s="41" t="str">
        <v>木工所</v>
      </c>
      <c r="C250" s="41" t="str">
        <v>椅子</v>
      </c>
      <c r="D250" s="43" t="n">
        <v>9</v>
      </c>
      <c r="E250" s="43" t="n">
        <v>15000</v>
      </c>
      <c r="F250" s="43" t="n">
        <f>ROUND(D250*E250,0)</f>
        <v>135000</v>
      </c>
      <c r="G250" s="43" t="n">
        <v>81000</v>
      </c>
      <c r="H250" s="43" t="n">
        <f>F250-G250</f>
        <v>54000</v>
      </c>
      <c r="I250" s="41" t="str">
        <v>架空サンプル</v>
      </c>
    </row>
    <row r="251" ht="25" customHeight="1">
      <c r="A251" s="42" t="d">
        <v>2025-11-05T00:00:00.000Z</v>
      </c>
      <c r="B251" s="41" t="str">
        <v>木工所</v>
      </c>
      <c r="C251" s="41" t="str">
        <v>収納棚</v>
      </c>
      <c r="D251" s="43" t="n">
        <v>2</v>
      </c>
      <c r="E251" s="43" t="n">
        <v>35000</v>
      </c>
      <c r="F251" s="43" t="n">
        <f>ROUND(D251*E251,0)</f>
        <v>70000</v>
      </c>
      <c r="G251" s="43" t="n">
        <v>46200</v>
      </c>
      <c r="H251" s="43" t="n">
        <f>F251-G251</f>
        <v>23800</v>
      </c>
      <c r="I251" s="41" t="str">
        <v>架空サンプル</v>
      </c>
    </row>
    <row r="252" ht="25" customHeight="1">
      <c r="A252" s="42" t="d">
        <v>2025-11-15T00:00:00.000Z</v>
      </c>
      <c r="B252" s="41" t="str">
        <v>木工所</v>
      </c>
      <c r="C252" s="41" t="str">
        <v>収納棚</v>
      </c>
      <c r="D252" s="43" t="n">
        <v>7</v>
      </c>
      <c r="E252" s="43" t="n">
        <v>35000</v>
      </c>
      <c r="F252" s="43" t="n">
        <f>ROUND(D252*E252,0)</f>
        <v>245000</v>
      </c>
      <c r="G252" s="43" t="n">
        <v>161700</v>
      </c>
      <c r="H252" s="43" t="n">
        <f>F252-G252</f>
        <v>83300</v>
      </c>
      <c r="I252" s="41" t="str">
        <v>架空サンプル</v>
      </c>
    </row>
    <row r="253" ht="25" customHeight="1">
      <c r="A253" s="42" t="d">
        <v>2025-11-25T00:00:00.000Z</v>
      </c>
      <c r="B253" s="41" t="str">
        <v>木工所</v>
      </c>
      <c r="C253" s="41" t="str">
        <v>収納棚</v>
      </c>
      <c r="D253" s="43" t="n">
        <v>12</v>
      </c>
      <c r="E253" s="43" t="n">
        <v>35000</v>
      </c>
      <c r="F253" s="43" t="n">
        <f>ROUND(D253*E253,0)</f>
        <v>420000</v>
      </c>
      <c r="G253" s="43" t="n">
        <v>277200</v>
      </c>
      <c r="H253" s="43" t="n">
        <f>F253-G253</f>
        <v>142800</v>
      </c>
      <c r="I253" s="41" t="str">
        <v>架空サンプル</v>
      </c>
    </row>
    <row r="254" ht="25" customHeight="1">
      <c r="A254" s="42" t="d">
        <v>2025-11-05T00:00:00.000Z</v>
      </c>
      <c r="B254" s="41" t="str">
        <v>木工所</v>
      </c>
      <c r="C254" s="41" t="str">
        <v>木製小物</v>
      </c>
      <c r="D254" s="43" t="n">
        <v>5</v>
      </c>
      <c r="E254" s="43" t="n">
        <v>2500</v>
      </c>
      <c r="F254" s="43" t="n">
        <f>ROUND(D254*E254,0)</f>
        <v>12500</v>
      </c>
      <c r="G254" s="43" t="n">
        <v>9000</v>
      </c>
      <c r="H254" s="43" t="n">
        <f>F254-G254</f>
        <v>3500</v>
      </c>
      <c r="I254" s="41" t="str">
        <v>架空サンプル</v>
      </c>
    </row>
    <row r="255" ht="25" customHeight="1">
      <c r="A255" s="42" t="d">
        <v>2025-11-15T00:00:00.000Z</v>
      </c>
      <c r="B255" s="41" t="str">
        <v>木工所</v>
      </c>
      <c r="C255" s="41" t="str">
        <v>木製小物</v>
      </c>
      <c r="D255" s="43" t="n">
        <v>10</v>
      </c>
      <c r="E255" s="43" t="n">
        <v>2500</v>
      </c>
      <c r="F255" s="43" t="n">
        <f>ROUND(D255*E255,0)</f>
        <v>25000</v>
      </c>
      <c r="G255" s="43" t="n">
        <v>18000</v>
      </c>
      <c r="H255" s="43" t="n">
        <f>F255-G255</f>
        <v>7000</v>
      </c>
      <c r="I255" s="41" t="str">
        <v>架空サンプル</v>
      </c>
    </row>
    <row r="256" ht="25" customHeight="1">
      <c r="A256" s="42" t="d">
        <v>2025-11-25T00:00:00.000Z</v>
      </c>
      <c r="B256" s="41" t="str">
        <v>木工所</v>
      </c>
      <c r="C256" s="41" t="str">
        <v>木製小物</v>
      </c>
      <c r="D256" s="43" t="n">
        <v>15</v>
      </c>
      <c r="E256" s="43" t="n">
        <v>2500</v>
      </c>
      <c r="F256" s="43" t="n">
        <f>ROUND(D256*E256,0)</f>
        <v>37500</v>
      </c>
      <c r="G256" s="43" t="n">
        <v>27000</v>
      </c>
      <c r="H256" s="43" t="n">
        <f>F256-G256</f>
        <v>10500</v>
      </c>
      <c r="I256" s="41" t="str">
        <v>架空サンプル</v>
      </c>
    </row>
    <row r="257" ht="25" customHeight="1">
      <c r="A257" s="42" t="d">
        <v>2025-11-05T00:00:00.000Z</v>
      </c>
      <c r="B257" s="41" t="str">
        <v>農家</v>
      </c>
      <c r="C257" s="41" t="str">
        <v>野菜5kg箱</v>
      </c>
      <c r="D257" s="43" t="n">
        <v>26</v>
      </c>
      <c r="E257" s="43" t="n">
        <v>2000</v>
      </c>
      <c r="F257" s="43" t="n">
        <f>ROUND(D257*E257,0)</f>
        <v>52000</v>
      </c>
      <c r="G257" s="43" t="n">
        <v>24960</v>
      </c>
      <c r="H257" s="43" t="n">
        <f>F257-G257</f>
        <v>27040</v>
      </c>
      <c r="I257" s="41" t="str">
        <v>架空サンプル</v>
      </c>
    </row>
    <row r="258" ht="25" customHeight="1">
      <c r="A258" s="42" t="d">
        <v>2025-11-15T00:00:00.000Z</v>
      </c>
      <c r="B258" s="41" t="str">
        <v>農家</v>
      </c>
      <c r="C258" s="41" t="str">
        <v>野菜5kg箱</v>
      </c>
      <c r="D258" s="43" t="n">
        <v>31</v>
      </c>
      <c r="E258" s="43" t="n">
        <v>2000</v>
      </c>
      <c r="F258" s="43" t="n">
        <f>ROUND(D258*E258,0)</f>
        <v>62000</v>
      </c>
      <c r="G258" s="43" t="n">
        <v>29760</v>
      </c>
      <c r="H258" s="43" t="n">
        <f>F258-G258</f>
        <v>32240</v>
      </c>
      <c r="I258" s="41" t="str">
        <v>架空サンプル</v>
      </c>
    </row>
    <row r="259" ht="25" customHeight="1">
      <c r="A259" s="42" t="d">
        <v>2025-11-25T00:00:00.000Z</v>
      </c>
      <c r="B259" s="41" t="str">
        <v>農家</v>
      </c>
      <c r="C259" s="41" t="str">
        <v>野菜5kg箱</v>
      </c>
      <c r="D259" s="43" t="n">
        <v>36</v>
      </c>
      <c r="E259" s="43" t="n">
        <v>2000</v>
      </c>
      <c r="F259" s="43" t="n">
        <f>ROUND(D259*E259,0)</f>
        <v>72000</v>
      </c>
      <c r="G259" s="43" t="n">
        <v>34560</v>
      </c>
      <c r="H259" s="43" t="n">
        <f>F259-G259</f>
        <v>37440</v>
      </c>
      <c r="I259" s="41" t="str">
        <v>架空サンプル</v>
      </c>
    </row>
    <row r="260" ht="25" customHeight="1">
      <c r="A260" s="42" t="d">
        <v>2025-11-05T00:00:00.000Z</v>
      </c>
      <c r="B260" s="41" t="str">
        <v>農家</v>
      </c>
      <c r="C260" s="41" t="str">
        <v>トマト箱</v>
      </c>
      <c r="D260" s="43" t="n">
        <v>29</v>
      </c>
      <c r="E260" s="43" t="n">
        <v>1800</v>
      </c>
      <c r="F260" s="43" t="n">
        <f>ROUND(D260*E260,0)</f>
        <v>52200</v>
      </c>
      <c r="G260" s="43" t="n">
        <v>28188</v>
      </c>
      <c r="H260" s="43" t="n">
        <f>F260-G260</f>
        <v>24012</v>
      </c>
      <c r="I260" s="41" t="str">
        <v>架空サンプル</v>
      </c>
    </row>
    <row r="261" ht="25" customHeight="1">
      <c r="A261" s="42" t="d">
        <v>2025-11-15T00:00:00.000Z</v>
      </c>
      <c r="B261" s="41" t="str">
        <v>農家</v>
      </c>
      <c r="C261" s="41" t="str">
        <v>トマト箱</v>
      </c>
      <c r="D261" s="43" t="n">
        <v>34</v>
      </c>
      <c r="E261" s="43" t="n">
        <v>1800</v>
      </c>
      <c r="F261" s="43" t="n">
        <f>ROUND(D261*E261,0)</f>
        <v>61200</v>
      </c>
      <c r="G261" s="43" t="n">
        <v>33048</v>
      </c>
      <c r="H261" s="43" t="n">
        <f>F261-G261</f>
        <v>28152</v>
      </c>
      <c r="I261" s="41" t="str">
        <v>架空サンプル</v>
      </c>
    </row>
    <row r="262" ht="25" customHeight="1">
      <c r="A262" s="42" t="d">
        <v>2025-11-25T00:00:00.000Z</v>
      </c>
      <c r="B262" s="41" t="str">
        <v>農家</v>
      </c>
      <c r="C262" s="41" t="str">
        <v>トマト箱</v>
      </c>
      <c r="D262" s="43" t="n">
        <v>22</v>
      </c>
      <c r="E262" s="43" t="n">
        <v>1800</v>
      </c>
      <c r="F262" s="43" t="n">
        <f>ROUND(D262*E262,0)</f>
        <v>39600</v>
      </c>
      <c r="G262" s="43" t="n">
        <v>21384</v>
      </c>
      <c r="H262" s="43" t="n">
        <f>F262-G262</f>
        <v>18216</v>
      </c>
      <c r="I262" s="41" t="str">
        <v>架空サンプル</v>
      </c>
    </row>
    <row r="263" ht="25" customHeight="1">
      <c r="A263" s="42" t="d">
        <v>2025-11-05T00:00:00.000Z</v>
      </c>
      <c r="B263" s="41" t="str">
        <v>農家</v>
      </c>
      <c r="C263" s="41" t="str">
        <v>米5kg</v>
      </c>
      <c r="D263" s="43" t="n">
        <v>32</v>
      </c>
      <c r="E263" s="43" t="n">
        <v>3200</v>
      </c>
      <c r="F263" s="43" t="n">
        <f>ROUND(D263*E263,0)</f>
        <v>102400</v>
      </c>
      <c r="G263" s="43" t="n">
        <v>61440</v>
      </c>
      <c r="H263" s="43" t="n">
        <f>F263-G263</f>
        <v>40960</v>
      </c>
      <c r="I263" s="41" t="str">
        <v>架空サンプル</v>
      </c>
    </row>
    <row r="264" ht="25" customHeight="1">
      <c r="A264" s="42" t="d">
        <v>2025-11-15T00:00:00.000Z</v>
      </c>
      <c r="B264" s="41" t="str">
        <v>農家</v>
      </c>
      <c r="C264" s="41" t="str">
        <v>米5kg</v>
      </c>
      <c r="D264" s="43" t="n">
        <v>20</v>
      </c>
      <c r="E264" s="43" t="n">
        <v>3200</v>
      </c>
      <c r="F264" s="43" t="n">
        <f>ROUND(D264*E264,0)</f>
        <v>64000</v>
      </c>
      <c r="G264" s="43" t="n">
        <v>38400</v>
      </c>
      <c r="H264" s="43" t="n">
        <f>F264-G264</f>
        <v>25600</v>
      </c>
      <c r="I264" s="41" t="str">
        <v>架空サンプル</v>
      </c>
    </row>
    <row r="265" ht="25" customHeight="1">
      <c r="A265" s="42" t="d">
        <v>2025-11-25T00:00:00.000Z</v>
      </c>
      <c r="B265" s="41" t="str">
        <v>農家</v>
      </c>
      <c r="C265" s="41" t="str">
        <v>米5kg</v>
      </c>
      <c r="D265" s="43" t="n">
        <v>25</v>
      </c>
      <c r="E265" s="43" t="n">
        <v>3200</v>
      </c>
      <c r="F265" s="43" t="n">
        <f>ROUND(D265*E265,0)</f>
        <v>80000</v>
      </c>
      <c r="G265" s="43" t="n">
        <v>48000</v>
      </c>
      <c r="H265" s="43" t="n">
        <f>F265-G265</f>
        <v>32000</v>
      </c>
      <c r="I265" s="41" t="str">
        <v>架空サンプル</v>
      </c>
    </row>
    <row r="266" ht="25" customHeight="1">
      <c r="A266" s="42" t="d">
        <v>2025-11-05T00:00:00.000Z</v>
      </c>
      <c r="B266" s="41" t="str">
        <v>農家</v>
      </c>
      <c r="C266" s="41" t="str">
        <v>季節の果物</v>
      </c>
      <c r="D266" s="43" t="n">
        <v>35</v>
      </c>
      <c r="E266" s="43" t="n">
        <v>4000</v>
      </c>
      <c r="F266" s="43" t="n">
        <f>ROUND(D266*E266,0)</f>
        <v>140000</v>
      </c>
      <c r="G266" s="43" t="n">
        <v>92400</v>
      </c>
      <c r="H266" s="43" t="n">
        <f>F266-G266</f>
        <v>47600</v>
      </c>
      <c r="I266" s="41" t="str">
        <v>架空サンプル</v>
      </c>
    </row>
    <row r="267" ht="25" customHeight="1">
      <c r="A267" s="42" t="d">
        <v>2025-11-15T00:00:00.000Z</v>
      </c>
      <c r="B267" s="41" t="str">
        <v>農家</v>
      </c>
      <c r="C267" s="41" t="str">
        <v>季節の果物</v>
      </c>
      <c r="D267" s="43" t="n">
        <v>23</v>
      </c>
      <c r="E267" s="43" t="n">
        <v>4000</v>
      </c>
      <c r="F267" s="43" t="n">
        <f>ROUND(D267*E267,0)</f>
        <v>92000</v>
      </c>
      <c r="G267" s="43" t="n">
        <v>60720</v>
      </c>
      <c r="H267" s="43" t="n">
        <f>F267-G267</f>
        <v>31280</v>
      </c>
      <c r="I267" s="41" t="str">
        <v>架空サンプル</v>
      </c>
    </row>
    <row r="268" ht="25" customHeight="1">
      <c r="A268" s="42" t="d">
        <v>2025-11-25T00:00:00.000Z</v>
      </c>
      <c r="B268" s="41" t="str">
        <v>農家</v>
      </c>
      <c r="C268" s="41" t="str">
        <v>季節の果物</v>
      </c>
      <c r="D268" s="43" t="n">
        <v>28</v>
      </c>
      <c r="E268" s="43" t="n">
        <v>4000</v>
      </c>
      <c r="F268" s="43" t="n">
        <f>ROUND(D268*E268,0)</f>
        <v>112000</v>
      </c>
      <c r="G268" s="43" t="n">
        <v>73920</v>
      </c>
      <c r="H268" s="43" t="n">
        <f>F268-G268</f>
        <v>38080</v>
      </c>
      <c r="I268" s="41" t="str">
        <v>架空サンプル</v>
      </c>
    </row>
    <row r="269" ht="25" customHeight="1">
      <c r="A269" s="42" t="d">
        <v>2025-12-05T00:00:00.000Z</v>
      </c>
      <c r="B269" s="41" t="str">
        <v>木工所</v>
      </c>
      <c r="C269" s="41" t="str">
        <v>テーブル</v>
      </c>
      <c r="D269" s="43" t="n">
        <v>3</v>
      </c>
      <c r="E269" s="43" t="n">
        <v>50000</v>
      </c>
      <c r="F269" s="43" t="n">
        <f>ROUND(D269*E269,0)</f>
        <v>150000</v>
      </c>
      <c r="G269" s="43" t="n">
        <v>90000</v>
      </c>
      <c r="H269" s="43" t="n">
        <f>F269-G269</f>
        <v>60000</v>
      </c>
      <c r="I269" s="41" t="str">
        <v>架空サンプル</v>
      </c>
    </row>
    <row r="270" ht="25" customHeight="1">
      <c r="A270" s="42" t="d">
        <v>2025-12-15T00:00:00.000Z</v>
      </c>
      <c r="B270" s="41" t="str">
        <v>木工所</v>
      </c>
      <c r="C270" s="41" t="str">
        <v>テーブル</v>
      </c>
      <c r="D270" s="43" t="n">
        <v>8</v>
      </c>
      <c r="E270" s="43" t="n">
        <v>50000</v>
      </c>
      <c r="F270" s="43" t="n">
        <f>ROUND(D270*E270,0)</f>
        <v>400000</v>
      </c>
      <c r="G270" s="43" t="n">
        <v>240000</v>
      </c>
      <c r="H270" s="43" t="n">
        <f>F270-G270</f>
        <v>160000</v>
      </c>
      <c r="I270" s="41" t="str">
        <v>架空サンプル</v>
      </c>
    </row>
    <row r="271" ht="25" customHeight="1">
      <c r="A271" s="42" t="d">
        <v>2025-12-25T00:00:00.000Z</v>
      </c>
      <c r="B271" s="41" t="str">
        <v>木工所</v>
      </c>
      <c r="C271" s="41" t="str">
        <v>テーブル</v>
      </c>
      <c r="D271" s="43" t="n">
        <v>13</v>
      </c>
      <c r="E271" s="43" t="n">
        <v>50000</v>
      </c>
      <c r="F271" s="43" t="n">
        <f>ROUND(D271*E271,0)</f>
        <v>650000</v>
      </c>
      <c r="G271" s="43" t="n">
        <v>390000</v>
      </c>
      <c r="H271" s="43" t="n">
        <f>F271-G271</f>
        <v>260000</v>
      </c>
      <c r="I271" s="41" t="str">
        <v>架空サンプル</v>
      </c>
    </row>
    <row r="272" ht="25" customHeight="1">
      <c r="A272" s="42" t="d">
        <v>2025-12-05T00:00:00.000Z</v>
      </c>
      <c r="B272" s="41" t="str">
        <v>木工所</v>
      </c>
      <c r="C272" s="41" t="str">
        <v>椅子</v>
      </c>
      <c r="D272" s="43" t="n">
        <v>6</v>
      </c>
      <c r="E272" s="43" t="n">
        <v>15000</v>
      </c>
      <c r="F272" s="43" t="n">
        <f>ROUND(D272*E272,0)</f>
        <v>90000</v>
      </c>
      <c r="G272" s="43" t="n">
        <v>59400</v>
      </c>
      <c r="H272" s="43" t="n">
        <f>F272-G272</f>
        <v>30600</v>
      </c>
      <c r="I272" s="41" t="str">
        <v>架空サンプル</v>
      </c>
    </row>
    <row r="273" ht="25" customHeight="1">
      <c r="A273" s="42" t="d">
        <v>2025-12-15T00:00:00.000Z</v>
      </c>
      <c r="B273" s="41" t="str">
        <v>木工所</v>
      </c>
      <c r="C273" s="41" t="str">
        <v>椅子</v>
      </c>
      <c r="D273" s="43" t="n">
        <v>11</v>
      </c>
      <c r="E273" s="43" t="n">
        <v>15000</v>
      </c>
      <c r="F273" s="43" t="n">
        <f>ROUND(D273*E273,0)</f>
        <v>165000</v>
      </c>
      <c r="G273" s="43" t="n">
        <v>108900</v>
      </c>
      <c r="H273" s="43" t="n">
        <f>F273-G273</f>
        <v>56100</v>
      </c>
      <c r="I273" s="41" t="str">
        <v>架空サンプル</v>
      </c>
    </row>
    <row r="274" ht="25" customHeight="1">
      <c r="A274" s="42" t="d">
        <v>2025-12-25T00:00:00.000Z</v>
      </c>
      <c r="B274" s="41" t="str">
        <v>木工所</v>
      </c>
      <c r="C274" s="41" t="str">
        <v>椅子</v>
      </c>
      <c r="D274" s="43" t="n">
        <v>16</v>
      </c>
      <c r="E274" s="43" t="n">
        <v>15000</v>
      </c>
      <c r="F274" s="43" t="n">
        <f>ROUND(D274*E274,0)</f>
        <v>240000</v>
      </c>
      <c r="G274" s="43" t="n">
        <v>158400</v>
      </c>
      <c r="H274" s="43" t="n">
        <f>F274-G274</f>
        <v>81600</v>
      </c>
      <c r="I274" s="41" t="str">
        <v>架空サンプル</v>
      </c>
    </row>
    <row r="275" ht="25" customHeight="1">
      <c r="A275" s="42" t="d">
        <v>2025-12-05T00:00:00.000Z</v>
      </c>
      <c r="B275" s="41" t="str">
        <v>木工所</v>
      </c>
      <c r="C275" s="41" t="str">
        <v>収納棚</v>
      </c>
      <c r="D275" s="43" t="n">
        <v>9</v>
      </c>
      <c r="E275" s="43" t="n">
        <v>35000</v>
      </c>
      <c r="F275" s="43" t="n">
        <f>ROUND(D275*E275,0)</f>
        <v>315000</v>
      </c>
      <c r="G275" s="43" t="n">
        <v>226800</v>
      </c>
      <c r="H275" s="43" t="n">
        <f>F275-G275</f>
        <v>88200</v>
      </c>
      <c r="I275" s="41" t="str">
        <v>架空サンプル</v>
      </c>
    </row>
    <row r="276" ht="25" customHeight="1">
      <c r="A276" s="42" t="d">
        <v>2025-12-15T00:00:00.000Z</v>
      </c>
      <c r="B276" s="41" t="str">
        <v>木工所</v>
      </c>
      <c r="C276" s="41" t="str">
        <v>収納棚</v>
      </c>
      <c r="D276" s="43" t="n">
        <v>14</v>
      </c>
      <c r="E276" s="43" t="n">
        <v>35000</v>
      </c>
      <c r="F276" s="43" t="n">
        <f>ROUND(D276*E276,0)</f>
        <v>490000</v>
      </c>
      <c r="G276" s="43" t="n">
        <v>352800</v>
      </c>
      <c r="H276" s="43" t="n">
        <f>F276-G276</f>
        <v>137200</v>
      </c>
      <c r="I276" s="41" t="str">
        <v>架空サンプル</v>
      </c>
    </row>
    <row r="277" ht="25" customHeight="1">
      <c r="A277" s="42" t="d">
        <v>2025-12-25T00:00:00.000Z</v>
      </c>
      <c r="B277" s="41" t="str">
        <v>木工所</v>
      </c>
      <c r="C277" s="41" t="str">
        <v>収納棚</v>
      </c>
      <c r="D277" s="43" t="n">
        <v>2</v>
      </c>
      <c r="E277" s="43" t="n">
        <v>35000</v>
      </c>
      <c r="F277" s="43" t="n">
        <f>ROUND(D277*E277,0)</f>
        <v>70000</v>
      </c>
      <c r="G277" s="43" t="n">
        <v>50400</v>
      </c>
      <c r="H277" s="43" t="n">
        <f>F277-G277</f>
        <v>19600</v>
      </c>
      <c r="I277" s="41" t="str">
        <v>架空サンプル</v>
      </c>
    </row>
    <row r="278" ht="25" customHeight="1">
      <c r="A278" s="42" t="d">
        <v>2025-12-05T00:00:00.000Z</v>
      </c>
      <c r="B278" s="41" t="str">
        <v>木工所</v>
      </c>
      <c r="C278" s="41" t="str">
        <v>木製小物</v>
      </c>
      <c r="D278" s="43" t="n">
        <v>12</v>
      </c>
      <c r="E278" s="43" t="n">
        <v>2500</v>
      </c>
      <c r="F278" s="43" t="n">
        <f>ROUND(D278*E278,0)</f>
        <v>30000</v>
      </c>
      <c r="G278" s="43" t="n">
        <v>14400</v>
      </c>
      <c r="H278" s="43" t="n">
        <f>F278-G278</f>
        <v>15600</v>
      </c>
      <c r="I278" s="41" t="str">
        <v>架空サンプル</v>
      </c>
    </row>
    <row r="279" ht="25" customHeight="1">
      <c r="A279" s="42" t="d">
        <v>2025-12-15T00:00:00.000Z</v>
      </c>
      <c r="B279" s="41" t="str">
        <v>木工所</v>
      </c>
      <c r="C279" s="41" t="str">
        <v>木製小物</v>
      </c>
      <c r="D279" s="43" t="n">
        <v>17</v>
      </c>
      <c r="E279" s="43" t="n">
        <v>2500</v>
      </c>
      <c r="F279" s="43" t="n">
        <f>ROUND(D279*E279,0)</f>
        <v>42500</v>
      </c>
      <c r="G279" s="43" t="n">
        <v>20400</v>
      </c>
      <c r="H279" s="43" t="n">
        <f>F279-G279</f>
        <v>22100</v>
      </c>
      <c r="I279" s="41" t="str">
        <v>架空サンプル</v>
      </c>
    </row>
    <row r="280" ht="25" customHeight="1">
      <c r="A280" s="42" t="d">
        <v>2025-12-25T00:00:00.000Z</v>
      </c>
      <c r="B280" s="41" t="str">
        <v>木工所</v>
      </c>
      <c r="C280" s="41" t="str">
        <v>木製小物</v>
      </c>
      <c r="D280" s="43" t="n">
        <v>5</v>
      </c>
      <c r="E280" s="43" t="n">
        <v>2500</v>
      </c>
      <c r="F280" s="43" t="n">
        <f>ROUND(D280*E280,0)</f>
        <v>12500</v>
      </c>
      <c r="G280" s="43" t="n">
        <v>6000</v>
      </c>
      <c r="H280" s="43" t="n">
        <f>F280-G280</f>
        <v>6500</v>
      </c>
      <c r="I280" s="41" t="str">
        <v>架空サンプル</v>
      </c>
    </row>
    <row r="281" ht="25" customHeight="1">
      <c r="A281" s="42" t="d">
        <v>2025-12-05T00:00:00.000Z</v>
      </c>
      <c r="B281" s="41" t="str">
        <v>農家</v>
      </c>
      <c r="C281" s="41" t="str">
        <v>野菜5kg箱</v>
      </c>
      <c r="D281" s="43" t="n">
        <v>33</v>
      </c>
      <c r="E281" s="43" t="n">
        <v>2000</v>
      </c>
      <c r="F281" s="43" t="n">
        <f>ROUND(D281*E281,0)</f>
        <v>66000</v>
      </c>
      <c r="G281" s="43" t="n">
        <v>35640</v>
      </c>
      <c r="H281" s="43" t="n">
        <f>F281-G281</f>
        <v>30360</v>
      </c>
      <c r="I281" s="41" t="str">
        <v>架空サンプル</v>
      </c>
    </row>
    <row r="282" ht="25" customHeight="1">
      <c r="A282" s="42" t="d">
        <v>2025-12-15T00:00:00.000Z</v>
      </c>
      <c r="B282" s="41" t="str">
        <v>農家</v>
      </c>
      <c r="C282" s="41" t="str">
        <v>野菜5kg箱</v>
      </c>
      <c r="D282" s="43" t="n">
        <v>21</v>
      </c>
      <c r="E282" s="43" t="n">
        <v>2000</v>
      </c>
      <c r="F282" s="43" t="n">
        <f>ROUND(D282*E282,0)</f>
        <v>42000</v>
      </c>
      <c r="G282" s="43" t="n">
        <v>22680</v>
      </c>
      <c r="H282" s="43" t="n">
        <f>F282-G282</f>
        <v>19320</v>
      </c>
      <c r="I282" s="41" t="str">
        <v>架空サンプル</v>
      </c>
    </row>
    <row r="283" ht="25" customHeight="1">
      <c r="A283" s="42" t="d">
        <v>2025-12-25T00:00:00.000Z</v>
      </c>
      <c r="B283" s="41" t="str">
        <v>農家</v>
      </c>
      <c r="C283" s="41" t="str">
        <v>野菜5kg箱</v>
      </c>
      <c r="D283" s="43" t="n">
        <v>26</v>
      </c>
      <c r="E283" s="43" t="n">
        <v>2000</v>
      </c>
      <c r="F283" s="43" t="n">
        <f>ROUND(D283*E283,0)</f>
        <v>52000</v>
      </c>
      <c r="G283" s="43" t="n">
        <v>28080</v>
      </c>
      <c r="H283" s="43" t="n">
        <f>F283-G283</f>
        <v>23920</v>
      </c>
      <c r="I283" s="41" t="str">
        <v>架空サンプル</v>
      </c>
    </row>
    <row r="284" ht="25" customHeight="1">
      <c r="A284" s="42" t="d">
        <v>2025-12-05T00:00:00.000Z</v>
      </c>
      <c r="B284" s="41" t="str">
        <v>農家</v>
      </c>
      <c r="C284" s="41" t="str">
        <v>トマト箱</v>
      </c>
      <c r="D284" s="43" t="n">
        <v>36</v>
      </c>
      <c r="E284" s="43" t="n">
        <v>1800</v>
      </c>
      <c r="F284" s="43" t="n">
        <f>ROUND(D284*E284,0)</f>
        <v>64800</v>
      </c>
      <c r="G284" s="43" t="n">
        <v>38880</v>
      </c>
      <c r="H284" s="43" t="n">
        <f>F284-G284</f>
        <v>25920</v>
      </c>
      <c r="I284" s="41" t="str">
        <v>架空サンプル</v>
      </c>
    </row>
    <row r="285" ht="25" customHeight="1">
      <c r="A285" s="42" t="d">
        <v>2025-12-15T00:00:00.000Z</v>
      </c>
      <c r="B285" s="41" t="str">
        <v>農家</v>
      </c>
      <c r="C285" s="41" t="str">
        <v>トマト箱</v>
      </c>
      <c r="D285" s="43" t="n">
        <v>24</v>
      </c>
      <c r="E285" s="43" t="n">
        <v>1800</v>
      </c>
      <c r="F285" s="43" t="n">
        <f>ROUND(D285*E285,0)</f>
        <v>43200</v>
      </c>
      <c r="G285" s="43" t="n">
        <v>25920</v>
      </c>
      <c r="H285" s="43" t="n">
        <f>F285-G285</f>
        <v>17280</v>
      </c>
      <c r="I285" s="41" t="str">
        <v>架空サンプル</v>
      </c>
    </row>
    <row r="286" ht="25" customHeight="1">
      <c r="A286" s="42" t="d">
        <v>2025-12-25T00:00:00.000Z</v>
      </c>
      <c r="B286" s="41" t="str">
        <v>農家</v>
      </c>
      <c r="C286" s="41" t="str">
        <v>トマト箱</v>
      </c>
      <c r="D286" s="43" t="n">
        <v>29</v>
      </c>
      <c r="E286" s="43" t="n">
        <v>1800</v>
      </c>
      <c r="F286" s="43" t="n">
        <f>ROUND(D286*E286,0)</f>
        <v>52200</v>
      </c>
      <c r="G286" s="43" t="n">
        <v>31320</v>
      </c>
      <c r="H286" s="43" t="n">
        <f>F286-G286</f>
        <v>20880</v>
      </c>
      <c r="I286" s="41" t="str">
        <v>架空サンプル</v>
      </c>
    </row>
    <row r="287" ht="25" customHeight="1">
      <c r="A287" s="42" t="d">
        <v>2025-12-05T00:00:00.000Z</v>
      </c>
      <c r="B287" s="41" t="str">
        <v>農家</v>
      </c>
      <c r="C287" s="41" t="str">
        <v>米5kg</v>
      </c>
      <c r="D287" s="43" t="n">
        <v>22</v>
      </c>
      <c r="E287" s="43" t="n">
        <v>3200</v>
      </c>
      <c r="F287" s="43" t="n">
        <f>ROUND(D287*E287,0)</f>
        <v>70400</v>
      </c>
      <c r="G287" s="43" t="n">
        <v>46464</v>
      </c>
      <c r="H287" s="43" t="n">
        <f>F287-G287</f>
        <v>23936</v>
      </c>
      <c r="I287" s="41" t="str">
        <v>架空サンプル</v>
      </c>
    </row>
    <row r="288" ht="25" customHeight="1">
      <c r="A288" s="42" t="d">
        <v>2025-12-15T00:00:00.000Z</v>
      </c>
      <c r="B288" s="41" t="str">
        <v>農家</v>
      </c>
      <c r="C288" s="41" t="str">
        <v>米5kg</v>
      </c>
      <c r="D288" s="43" t="n">
        <v>27</v>
      </c>
      <c r="E288" s="43" t="n">
        <v>3200</v>
      </c>
      <c r="F288" s="43" t="n">
        <f>ROUND(D288*E288,0)</f>
        <v>86400</v>
      </c>
      <c r="G288" s="43" t="n">
        <v>57024</v>
      </c>
      <c r="H288" s="43" t="n">
        <f>F288-G288</f>
        <v>29376</v>
      </c>
      <c r="I288" s="41" t="str">
        <v>架空サンプル</v>
      </c>
    </row>
    <row r="289" ht="25" customHeight="1">
      <c r="A289" s="42" t="d">
        <v>2025-12-25T00:00:00.000Z</v>
      </c>
      <c r="B289" s="41" t="str">
        <v>農家</v>
      </c>
      <c r="C289" s="41" t="str">
        <v>米5kg</v>
      </c>
      <c r="D289" s="43" t="n">
        <v>32</v>
      </c>
      <c r="E289" s="43" t="n">
        <v>3200</v>
      </c>
      <c r="F289" s="43" t="n">
        <f>ROUND(D289*E289,0)</f>
        <v>102400</v>
      </c>
      <c r="G289" s="43" t="n">
        <v>67584</v>
      </c>
      <c r="H289" s="43" t="n">
        <f>F289-G289</f>
        <v>34816</v>
      </c>
      <c r="I289" s="41" t="str">
        <v>架空サンプル</v>
      </c>
    </row>
    <row r="290" ht="25" customHeight="1">
      <c r="A290" s="42" t="d">
        <v>2025-12-05T00:00:00.000Z</v>
      </c>
      <c r="B290" s="41" t="str">
        <v>農家</v>
      </c>
      <c r="C290" s="41" t="str">
        <v>季節の果物</v>
      </c>
      <c r="D290" s="43" t="n">
        <v>25</v>
      </c>
      <c r="E290" s="43" t="n">
        <v>4000</v>
      </c>
      <c r="F290" s="43" t="n">
        <f>ROUND(D290*E290,0)</f>
        <v>100000</v>
      </c>
      <c r="G290" s="43" t="n">
        <v>72000</v>
      </c>
      <c r="H290" s="43" t="n">
        <f>F290-G290</f>
        <v>28000</v>
      </c>
      <c r="I290" s="41" t="str">
        <v>架空サンプル</v>
      </c>
    </row>
    <row r="291" ht="25" customHeight="1">
      <c r="A291" s="42" t="d">
        <v>2025-12-15T00:00:00.000Z</v>
      </c>
      <c r="B291" s="41" t="str">
        <v>農家</v>
      </c>
      <c r="C291" s="41" t="str">
        <v>季節の果物</v>
      </c>
      <c r="D291" s="43" t="n">
        <v>30</v>
      </c>
      <c r="E291" s="43" t="n">
        <v>4000</v>
      </c>
      <c r="F291" s="43" t="n">
        <f>ROUND(D291*E291,0)</f>
        <v>120000</v>
      </c>
      <c r="G291" s="43" t="n">
        <v>86400</v>
      </c>
      <c r="H291" s="43" t="n">
        <f>F291-G291</f>
        <v>33600</v>
      </c>
      <c r="I291" s="41" t="str">
        <v>架空サンプル</v>
      </c>
    </row>
    <row r="292" ht="25" customHeight="1">
      <c r="A292" s="42" t="d">
        <v>2025-12-25T00:00:00.000Z</v>
      </c>
      <c r="B292" s="41" t="str">
        <v>農家</v>
      </c>
      <c r="C292" s="41" t="str">
        <v>季節の果物</v>
      </c>
      <c r="D292" s="43" t="n">
        <v>35</v>
      </c>
      <c r="E292" s="43" t="n">
        <v>4000</v>
      </c>
      <c r="F292" s="43" t="n">
        <f>ROUND(D292*E292,0)</f>
        <v>140000</v>
      </c>
      <c r="G292" s="43" t="n">
        <v>100800</v>
      </c>
      <c r="H292" s="43" t="n">
        <f>F292-G292</f>
        <v>39200</v>
      </c>
      <c r="I292" s="41" t="str">
        <v>架空サンプル</v>
      </c>
    </row>
    <row r="293" ht="25" customHeight="1">
      <c r="A293" s="42" t="d">
        <v>2026-01-05T00:00:00.000Z</v>
      </c>
      <c r="B293" s="41" t="str">
        <v>木工所</v>
      </c>
      <c r="C293" s="41" t="str">
        <v>テーブル</v>
      </c>
      <c r="D293" s="43" t="n">
        <v>12</v>
      </c>
      <c r="E293" s="43" t="n">
        <v>50000</v>
      </c>
      <c r="F293" s="43" t="n">
        <f>ROUND(D293*E293,0)</f>
        <v>600000</v>
      </c>
      <c r="G293" s="43" t="n">
        <v>324000</v>
      </c>
      <c r="H293" s="43" t="n">
        <f>F293-G293</f>
        <v>276000</v>
      </c>
      <c r="I293" s="41" t="str">
        <v>架空サンプル</v>
      </c>
    </row>
    <row r="294" ht="25" customHeight="1">
      <c r="A294" s="42" t="d">
        <v>2026-01-15T00:00:00.000Z</v>
      </c>
      <c r="B294" s="41" t="str">
        <v>木工所</v>
      </c>
      <c r="C294" s="41" t="str">
        <v>テーブル</v>
      </c>
      <c r="D294" s="43" t="n">
        <v>17</v>
      </c>
      <c r="E294" s="43" t="n">
        <v>50000</v>
      </c>
      <c r="F294" s="43" t="n">
        <f>ROUND(D294*E294,0)</f>
        <v>850000</v>
      </c>
      <c r="G294" s="43" t="n">
        <v>459000</v>
      </c>
      <c r="H294" s="43" t="n">
        <f>F294-G294</f>
        <v>391000</v>
      </c>
      <c r="I294" s="41" t="str">
        <v>架空サンプル</v>
      </c>
    </row>
    <row r="295" ht="25" customHeight="1">
      <c r="A295" s="42" t="d">
        <v>2026-01-25T00:00:00.000Z</v>
      </c>
      <c r="B295" s="41" t="str">
        <v>木工所</v>
      </c>
      <c r="C295" s="41" t="str">
        <v>テーブル</v>
      </c>
      <c r="D295" s="43" t="n">
        <v>5</v>
      </c>
      <c r="E295" s="43" t="n">
        <v>50000</v>
      </c>
      <c r="F295" s="43" t="n">
        <f>ROUND(D295*E295,0)</f>
        <v>250000</v>
      </c>
      <c r="G295" s="43" t="n">
        <v>135000</v>
      </c>
      <c r="H295" s="43" t="n">
        <f>F295-G295</f>
        <v>115000</v>
      </c>
      <c r="I295" s="41" t="str">
        <v>架空サンプル</v>
      </c>
    </row>
    <row r="296" ht="25" customHeight="1">
      <c r="A296" s="42" t="d">
        <v>2026-01-05T00:00:00.000Z</v>
      </c>
      <c r="B296" s="41" t="str">
        <v>木工所</v>
      </c>
      <c r="C296" s="41" t="str">
        <v>椅子</v>
      </c>
      <c r="D296" s="43" t="n">
        <v>15</v>
      </c>
      <c r="E296" s="43" t="n">
        <v>15000</v>
      </c>
      <c r="F296" s="43" t="n">
        <f>ROUND(D296*E296,0)</f>
        <v>225000</v>
      </c>
      <c r="G296" s="43" t="n">
        <v>135000</v>
      </c>
      <c r="H296" s="43" t="n">
        <f>F296-G296</f>
        <v>90000</v>
      </c>
      <c r="I296" s="41" t="str">
        <v>架空サンプル</v>
      </c>
    </row>
    <row r="297" ht="25" customHeight="1">
      <c r="A297" s="42" t="d">
        <v>2026-01-15T00:00:00.000Z</v>
      </c>
      <c r="B297" s="41" t="str">
        <v>木工所</v>
      </c>
      <c r="C297" s="41" t="str">
        <v>椅子</v>
      </c>
      <c r="D297" s="43" t="n">
        <v>3</v>
      </c>
      <c r="E297" s="43" t="n">
        <v>15000</v>
      </c>
      <c r="F297" s="43" t="n">
        <f>ROUND(D297*E297,0)</f>
        <v>45000</v>
      </c>
      <c r="G297" s="43" t="n">
        <v>27000</v>
      </c>
      <c r="H297" s="43" t="n">
        <f>F297-G297</f>
        <v>18000</v>
      </c>
      <c r="I297" s="41" t="str">
        <v>架空サンプル</v>
      </c>
    </row>
    <row r="298" ht="25" customHeight="1">
      <c r="A298" s="42" t="d">
        <v>2026-01-25T00:00:00.000Z</v>
      </c>
      <c r="B298" s="41" t="str">
        <v>木工所</v>
      </c>
      <c r="C298" s="41" t="str">
        <v>椅子</v>
      </c>
      <c r="D298" s="43" t="n">
        <v>8</v>
      </c>
      <c r="E298" s="43" t="n">
        <v>15000</v>
      </c>
      <c r="F298" s="43" t="n">
        <f>ROUND(D298*E298,0)</f>
        <v>120000</v>
      </c>
      <c r="G298" s="43" t="n">
        <v>72000</v>
      </c>
      <c r="H298" s="43" t="n">
        <f>F298-G298</f>
        <v>48000</v>
      </c>
      <c r="I298" s="41" t="str">
        <v>架空サンプル</v>
      </c>
    </row>
    <row r="299" ht="25" customHeight="1">
      <c r="A299" s="42" t="d">
        <v>2026-01-05T00:00:00.000Z</v>
      </c>
      <c r="B299" s="41" t="str">
        <v>木工所</v>
      </c>
      <c r="C299" s="41" t="str">
        <v>収納棚</v>
      </c>
      <c r="D299" s="43" t="n">
        <v>18</v>
      </c>
      <c r="E299" s="43" t="n">
        <v>35000</v>
      </c>
      <c r="F299" s="43" t="n">
        <f>ROUND(D299*E299,0)</f>
        <v>630000</v>
      </c>
      <c r="G299" s="43" t="n">
        <v>415800</v>
      </c>
      <c r="H299" s="43" t="n">
        <f>F299-G299</f>
        <v>214200</v>
      </c>
      <c r="I299" s="41" t="str">
        <v>架空サンプル</v>
      </c>
    </row>
    <row r="300" ht="25" customHeight="1">
      <c r="A300" s="42" t="d">
        <v>2026-01-15T00:00:00.000Z</v>
      </c>
      <c r="B300" s="41" t="str">
        <v>木工所</v>
      </c>
      <c r="C300" s="41" t="str">
        <v>収納棚</v>
      </c>
      <c r="D300" s="43" t="n">
        <v>6</v>
      </c>
      <c r="E300" s="43" t="n">
        <v>35000</v>
      </c>
      <c r="F300" s="43" t="n">
        <f>ROUND(D300*E300,0)</f>
        <v>210000</v>
      </c>
      <c r="G300" s="43" t="n">
        <v>138600</v>
      </c>
      <c r="H300" s="43" t="n">
        <f>F300-G300</f>
        <v>71400</v>
      </c>
      <c r="I300" s="41" t="str">
        <v>架空サンプル</v>
      </c>
    </row>
    <row r="301" ht="25" customHeight="1">
      <c r="A301" s="42" t="d">
        <v>2026-01-25T00:00:00.000Z</v>
      </c>
      <c r="B301" s="41" t="str">
        <v>木工所</v>
      </c>
      <c r="C301" s="41" t="str">
        <v>収納棚</v>
      </c>
      <c r="D301" s="43" t="n">
        <v>11</v>
      </c>
      <c r="E301" s="43" t="n">
        <v>35000</v>
      </c>
      <c r="F301" s="43" t="n">
        <f>ROUND(D301*E301,0)</f>
        <v>385000</v>
      </c>
      <c r="G301" s="43" t="n">
        <v>254100</v>
      </c>
      <c r="H301" s="43" t="n">
        <f>F301-G301</f>
        <v>130900</v>
      </c>
      <c r="I301" s="41" t="str">
        <v>架空サンプル</v>
      </c>
    </row>
    <row r="302" ht="25" customHeight="1">
      <c r="A302" s="42" t="d">
        <v>2026-01-05T00:00:00.000Z</v>
      </c>
      <c r="B302" s="41" t="str">
        <v>木工所</v>
      </c>
      <c r="C302" s="41" t="str">
        <v>木製小物</v>
      </c>
      <c r="D302" s="43" t="n">
        <v>4</v>
      </c>
      <c r="E302" s="43" t="n">
        <v>2500</v>
      </c>
      <c r="F302" s="43" t="n">
        <f>ROUND(D302*E302,0)</f>
        <v>10000</v>
      </c>
      <c r="G302" s="43" t="n">
        <v>7200</v>
      </c>
      <c r="H302" s="43" t="n">
        <f>F302-G302</f>
        <v>2800</v>
      </c>
      <c r="I302" s="41" t="str">
        <v>架空サンプル</v>
      </c>
    </row>
    <row r="303" ht="25" customHeight="1">
      <c r="A303" s="42" t="d">
        <v>2026-01-15T00:00:00.000Z</v>
      </c>
      <c r="B303" s="41" t="str">
        <v>木工所</v>
      </c>
      <c r="C303" s="41" t="str">
        <v>木製小物</v>
      </c>
      <c r="D303" s="43" t="n">
        <v>9</v>
      </c>
      <c r="E303" s="43" t="n">
        <v>2500</v>
      </c>
      <c r="F303" s="43" t="n">
        <f>ROUND(D303*E303,0)</f>
        <v>22500</v>
      </c>
      <c r="G303" s="43" t="n">
        <v>16200</v>
      </c>
      <c r="H303" s="43" t="n">
        <f>F303-G303</f>
        <v>6300</v>
      </c>
      <c r="I303" s="41" t="str">
        <v>架空サンプル</v>
      </c>
    </row>
    <row r="304" ht="25" customHeight="1">
      <c r="A304" s="42" t="d">
        <v>2026-01-25T00:00:00.000Z</v>
      </c>
      <c r="B304" s="41" t="str">
        <v>木工所</v>
      </c>
      <c r="C304" s="41" t="str">
        <v>木製小物</v>
      </c>
      <c r="D304" s="43" t="n">
        <v>14</v>
      </c>
      <c r="E304" s="43" t="n">
        <v>2500</v>
      </c>
      <c r="F304" s="43" t="n">
        <f>ROUND(D304*E304,0)</f>
        <v>35000</v>
      </c>
      <c r="G304" s="43" t="n">
        <v>25200</v>
      </c>
      <c r="H304" s="43" t="n">
        <f>F304-G304</f>
        <v>9800</v>
      </c>
      <c r="I304" s="41" t="str">
        <v>架空サンプル</v>
      </c>
    </row>
    <row r="305" ht="25" customHeight="1">
      <c r="A305" s="42" t="d">
        <v>2026-01-05T00:00:00.000Z</v>
      </c>
      <c r="B305" s="41" t="str">
        <v>農家</v>
      </c>
      <c r="C305" s="41" t="str">
        <v>野菜5kg箱</v>
      </c>
      <c r="D305" s="43" t="n">
        <v>25</v>
      </c>
      <c r="E305" s="43" t="n">
        <v>2000</v>
      </c>
      <c r="F305" s="43" t="n">
        <f>ROUND(D305*E305,0)</f>
        <v>50000</v>
      </c>
      <c r="G305" s="43" t="n">
        <v>24000</v>
      </c>
      <c r="H305" s="43" t="n">
        <f>F305-G305</f>
        <v>26000</v>
      </c>
      <c r="I305" s="41" t="str">
        <v>架空サンプル</v>
      </c>
    </row>
    <row r="306" ht="25" customHeight="1">
      <c r="A306" s="42" t="d">
        <v>2026-01-15T00:00:00.000Z</v>
      </c>
      <c r="B306" s="41" t="str">
        <v>農家</v>
      </c>
      <c r="C306" s="41" t="str">
        <v>野菜5kg箱</v>
      </c>
      <c r="D306" s="43" t="n">
        <v>30</v>
      </c>
      <c r="E306" s="43" t="n">
        <v>2000</v>
      </c>
      <c r="F306" s="43" t="n">
        <f>ROUND(D306*E306,0)</f>
        <v>60000</v>
      </c>
      <c r="G306" s="43" t="n">
        <v>28800</v>
      </c>
      <c r="H306" s="43" t="n">
        <f>F306-G306</f>
        <v>31200</v>
      </c>
      <c r="I306" s="41" t="str">
        <v>架空サンプル</v>
      </c>
    </row>
    <row r="307" ht="25" customHeight="1">
      <c r="A307" s="42" t="d">
        <v>2026-01-25T00:00:00.000Z</v>
      </c>
      <c r="B307" s="41" t="str">
        <v>農家</v>
      </c>
      <c r="C307" s="41" t="str">
        <v>野菜5kg箱</v>
      </c>
      <c r="D307" s="43" t="n">
        <v>35</v>
      </c>
      <c r="E307" s="43" t="n">
        <v>2000</v>
      </c>
      <c r="F307" s="43" t="n">
        <f>ROUND(D307*E307,0)</f>
        <v>70000</v>
      </c>
      <c r="G307" s="43" t="n">
        <v>33600</v>
      </c>
      <c r="H307" s="43" t="n">
        <f>F307-G307</f>
        <v>36400</v>
      </c>
      <c r="I307" s="41" t="str">
        <v>架空サンプル</v>
      </c>
    </row>
    <row r="308" ht="25" customHeight="1">
      <c r="A308" s="42" t="d">
        <v>2026-01-05T00:00:00.000Z</v>
      </c>
      <c r="B308" s="41" t="str">
        <v>農家</v>
      </c>
      <c r="C308" s="41" t="str">
        <v>トマト箱</v>
      </c>
      <c r="D308" s="43" t="n">
        <v>28</v>
      </c>
      <c r="E308" s="43" t="n">
        <v>1800</v>
      </c>
      <c r="F308" s="43" t="n">
        <f>ROUND(D308*E308,0)</f>
        <v>50400</v>
      </c>
      <c r="G308" s="43" t="n">
        <v>27216</v>
      </c>
      <c r="H308" s="43" t="n">
        <f>F308-G308</f>
        <v>23184</v>
      </c>
      <c r="I308" s="41" t="str">
        <v>架空サンプル</v>
      </c>
    </row>
    <row r="309" ht="25" customHeight="1">
      <c r="A309" s="42" t="d">
        <v>2026-01-15T00:00:00.000Z</v>
      </c>
      <c r="B309" s="41" t="str">
        <v>農家</v>
      </c>
      <c r="C309" s="41" t="str">
        <v>トマト箱</v>
      </c>
      <c r="D309" s="43" t="n">
        <v>33</v>
      </c>
      <c r="E309" s="43" t="n">
        <v>1800</v>
      </c>
      <c r="F309" s="43" t="n">
        <f>ROUND(D309*E309,0)</f>
        <v>59400</v>
      </c>
      <c r="G309" s="43" t="n">
        <v>32076</v>
      </c>
      <c r="H309" s="43" t="n">
        <f>F309-G309</f>
        <v>27324</v>
      </c>
      <c r="I309" s="41" t="str">
        <v>架空サンプル</v>
      </c>
    </row>
    <row r="310" ht="25" customHeight="1">
      <c r="A310" s="42" t="d">
        <v>2026-01-25T00:00:00.000Z</v>
      </c>
      <c r="B310" s="41" t="str">
        <v>農家</v>
      </c>
      <c r="C310" s="41" t="str">
        <v>トマト箱</v>
      </c>
      <c r="D310" s="43" t="n">
        <v>21</v>
      </c>
      <c r="E310" s="43" t="n">
        <v>1800</v>
      </c>
      <c r="F310" s="43" t="n">
        <f>ROUND(D310*E310,0)</f>
        <v>37800</v>
      </c>
      <c r="G310" s="43" t="n">
        <v>20412</v>
      </c>
      <c r="H310" s="43" t="n">
        <f>F310-G310</f>
        <v>17388</v>
      </c>
      <c r="I310" s="41" t="str">
        <v>架空サンプル</v>
      </c>
    </row>
    <row r="311" ht="25" customHeight="1">
      <c r="A311" s="42" t="d">
        <v>2026-01-05T00:00:00.000Z</v>
      </c>
      <c r="B311" s="41" t="str">
        <v>農家</v>
      </c>
      <c r="C311" s="41" t="str">
        <v>米5kg</v>
      </c>
      <c r="D311" s="43" t="n">
        <v>31</v>
      </c>
      <c r="E311" s="43" t="n">
        <v>3200</v>
      </c>
      <c r="F311" s="43" t="n">
        <f>ROUND(D311*E311,0)</f>
        <v>99200</v>
      </c>
      <c r="G311" s="43" t="n">
        <v>59520</v>
      </c>
      <c r="H311" s="43" t="n">
        <f>F311-G311</f>
        <v>39680</v>
      </c>
      <c r="I311" s="41" t="str">
        <v>架空サンプル</v>
      </c>
    </row>
    <row r="312" ht="25" customHeight="1">
      <c r="A312" s="42" t="d">
        <v>2026-01-15T00:00:00.000Z</v>
      </c>
      <c r="B312" s="41" t="str">
        <v>農家</v>
      </c>
      <c r="C312" s="41" t="str">
        <v>米5kg</v>
      </c>
      <c r="D312" s="43" t="n">
        <v>36</v>
      </c>
      <c r="E312" s="43" t="n">
        <v>3200</v>
      </c>
      <c r="F312" s="43" t="n">
        <f>ROUND(D312*E312,0)</f>
        <v>115200</v>
      </c>
      <c r="G312" s="43" t="n">
        <v>69120</v>
      </c>
      <c r="H312" s="43" t="n">
        <f>F312-G312</f>
        <v>46080</v>
      </c>
      <c r="I312" s="41" t="str">
        <v>架空サンプル</v>
      </c>
    </row>
    <row r="313" ht="25" customHeight="1">
      <c r="A313" s="42" t="d">
        <v>2026-01-25T00:00:00.000Z</v>
      </c>
      <c r="B313" s="41" t="str">
        <v>農家</v>
      </c>
      <c r="C313" s="41" t="str">
        <v>米5kg</v>
      </c>
      <c r="D313" s="43" t="n">
        <v>24</v>
      </c>
      <c r="E313" s="43" t="n">
        <v>3200</v>
      </c>
      <c r="F313" s="43" t="n">
        <f>ROUND(D313*E313,0)</f>
        <v>76800</v>
      </c>
      <c r="G313" s="43" t="n">
        <v>46080</v>
      </c>
      <c r="H313" s="43" t="n">
        <f>F313-G313</f>
        <v>30720</v>
      </c>
      <c r="I313" s="41" t="str">
        <v>架空サンプル</v>
      </c>
    </row>
    <row r="314" ht="25" customHeight="1">
      <c r="A314" s="42" t="d">
        <v>2026-01-05T00:00:00.000Z</v>
      </c>
      <c r="B314" s="41" t="str">
        <v>農家</v>
      </c>
      <c r="C314" s="41" t="str">
        <v>季節の果物</v>
      </c>
      <c r="D314" s="43" t="n">
        <v>34</v>
      </c>
      <c r="E314" s="43" t="n">
        <v>4000</v>
      </c>
      <c r="F314" s="43" t="n">
        <f>ROUND(D314*E314,0)</f>
        <v>136000</v>
      </c>
      <c r="G314" s="43" t="n">
        <v>89760</v>
      </c>
      <c r="H314" s="43" t="n">
        <f>F314-G314</f>
        <v>46240</v>
      </c>
      <c r="I314" s="41" t="str">
        <v>架空サンプル</v>
      </c>
    </row>
    <row r="315" ht="25" customHeight="1">
      <c r="A315" s="42" t="d">
        <v>2026-01-15T00:00:00.000Z</v>
      </c>
      <c r="B315" s="41" t="str">
        <v>農家</v>
      </c>
      <c r="C315" s="41" t="str">
        <v>季節の果物</v>
      </c>
      <c r="D315" s="43" t="n">
        <v>22</v>
      </c>
      <c r="E315" s="43" t="n">
        <v>4000</v>
      </c>
      <c r="F315" s="43" t="n">
        <f>ROUND(D315*E315,0)</f>
        <v>88000</v>
      </c>
      <c r="G315" s="43" t="n">
        <v>58080</v>
      </c>
      <c r="H315" s="43" t="n">
        <f>F315-G315</f>
        <v>29920</v>
      </c>
      <c r="I315" s="41" t="str">
        <v>架空サンプル</v>
      </c>
    </row>
    <row r="316" ht="25" customHeight="1">
      <c r="A316" s="42" t="d">
        <v>2026-01-25T00:00:00.000Z</v>
      </c>
      <c r="B316" s="41" t="str">
        <v>農家</v>
      </c>
      <c r="C316" s="41" t="str">
        <v>季節の果物</v>
      </c>
      <c r="D316" s="43" t="n">
        <v>27</v>
      </c>
      <c r="E316" s="43" t="n">
        <v>4000</v>
      </c>
      <c r="F316" s="43" t="n">
        <f>ROUND(D316*E316,0)</f>
        <v>108000</v>
      </c>
      <c r="G316" s="43" t="n">
        <v>71280</v>
      </c>
      <c r="H316" s="43" t="n">
        <f>F316-G316</f>
        <v>36720</v>
      </c>
      <c r="I316" s="41" t="str">
        <v>架空サンプル</v>
      </c>
    </row>
    <row r="317" ht="25" customHeight="1">
      <c r="A317" s="42" t="d">
        <v>2026-02-05T00:00:00.000Z</v>
      </c>
      <c r="B317" s="41" t="str">
        <v>木工所</v>
      </c>
      <c r="C317" s="41" t="str">
        <v>テーブル</v>
      </c>
      <c r="D317" s="43" t="n">
        <v>2</v>
      </c>
      <c r="E317" s="43" t="n">
        <v>50000</v>
      </c>
      <c r="F317" s="43" t="n">
        <f>ROUND(D317*E317,0)</f>
        <v>100000</v>
      </c>
      <c r="G317" s="43" t="n">
        <v>60000</v>
      </c>
      <c r="H317" s="43" t="n">
        <f>F317-G317</f>
        <v>40000</v>
      </c>
      <c r="I317" s="41" t="str">
        <v>架空サンプル</v>
      </c>
    </row>
    <row r="318" ht="25" customHeight="1">
      <c r="A318" s="42" t="d">
        <v>2026-02-15T00:00:00.000Z</v>
      </c>
      <c r="B318" s="41" t="str">
        <v>木工所</v>
      </c>
      <c r="C318" s="41" t="str">
        <v>テーブル</v>
      </c>
      <c r="D318" s="43" t="n">
        <v>7</v>
      </c>
      <c r="E318" s="43" t="n">
        <v>50000</v>
      </c>
      <c r="F318" s="43" t="n">
        <f>ROUND(D318*E318,0)</f>
        <v>350000</v>
      </c>
      <c r="G318" s="43" t="n">
        <v>210000</v>
      </c>
      <c r="H318" s="43" t="n">
        <f>F318-G318</f>
        <v>140000</v>
      </c>
      <c r="I318" s="41" t="str">
        <v>架空サンプル</v>
      </c>
    </row>
    <row r="319" ht="25" customHeight="1">
      <c r="A319" s="42" t="d">
        <v>2026-02-25T00:00:00.000Z</v>
      </c>
      <c r="B319" s="41" t="str">
        <v>木工所</v>
      </c>
      <c r="C319" s="41" t="str">
        <v>テーブル</v>
      </c>
      <c r="D319" s="43" t="n">
        <v>12</v>
      </c>
      <c r="E319" s="43" t="n">
        <v>50000</v>
      </c>
      <c r="F319" s="43" t="n">
        <f>ROUND(D319*E319,0)</f>
        <v>600000</v>
      </c>
      <c r="G319" s="43" t="n">
        <v>360000</v>
      </c>
      <c r="H319" s="43" t="n">
        <f>F319-G319</f>
        <v>240000</v>
      </c>
      <c r="I319" s="41" t="str">
        <v>架空サンプル</v>
      </c>
    </row>
    <row r="320" ht="25" customHeight="1">
      <c r="A320" s="42" t="d">
        <v>2026-02-05T00:00:00.000Z</v>
      </c>
      <c r="B320" s="41" t="str">
        <v>木工所</v>
      </c>
      <c r="C320" s="41" t="str">
        <v>椅子</v>
      </c>
      <c r="D320" s="43" t="n">
        <v>5</v>
      </c>
      <c r="E320" s="43" t="n">
        <v>15000</v>
      </c>
      <c r="F320" s="43" t="n">
        <f>ROUND(D320*E320,0)</f>
        <v>75000</v>
      </c>
      <c r="G320" s="43" t="n">
        <v>49500</v>
      </c>
      <c r="H320" s="43" t="n">
        <f>F320-G320</f>
        <v>25500</v>
      </c>
      <c r="I320" s="41" t="str">
        <v>架空サンプル</v>
      </c>
    </row>
    <row r="321" ht="25" customHeight="1">
      <c r="A321" s="42" t="d">
        <v>2026-02-15T00:00:00.000Z</v>
      </c>
      <c r="B321" s="41" t="str">
        <v>木工所</v>
      </c>
      <c r="C321" s="41" t="str">
        <v>椅子</v>
      </c>
      <c r="D321" s="43" t="n">
        <v>10</v>
      </c>
      <c r="E321" s="43" t="n">
        <v>15000</v>
      </c>
      <c r="F321" s="43" t="n">
        <f>ROUND(D321*E321,0)</f>
        <v>150000</v>
      </c>
      <c r="G321" s="43" t="n">
        <v>99000</v>
      </c>
      <c r="H321" s="43" t="n">
        <f>F321-G321</f>
        <v>51000</v>
      </c>
      <c r="I321" s="41" t="str">
        <v>架空サンプル</v>
      </c>
    </row>
    <row r="322" ht="25" customHeight="1">
      <c r="A322" s="42" t="d">
        <v>2026-02-25T00:00:00.000Z</v>
      </c>
      <c r="B322" s="41" t="str">
        <v>木工所</v>
      </c>
      <c r="C322" s="41" t="str">
        <v>椅子</v>
      </c>
      <c r="D322" s="43" t="n">
        <v>15</v>
      </c>
      <c r="E322" s="43" t="n">
        <v>15000</v>
      </c>
      <c r="F322" s="43" t="n">
        <f>ROUND(D322*E322,0)</f>
        <v>225000</v>
      </c>
      <c r="G322" s="43" t="n">
        <v>148500</v>
      </c>
      <c r="H322" s="43" t="n">
        <f>F322-G322</f>
        <v>76500</v>
      </c>
      <c r="I322" s="41" t="str">
        <v>架空サンプル</v>
      </c>
    </row>
    <row r="323" ht="25" customHeight="1">
      <c r="A323" s="42" t="d">
        <v>2026-02-05T00:00:00.000Z</v>
      </c>
      <c r="B323" s="41" t="str">
        <v>木工所</v>
      </c>
      <c r="C323" s="41" t="str">
        <v>収納棚</v>
      </c>
      <c r="D323" s="43" t="n">
        <v>8</v>
      </c>
      <c r="E323" s="43" t="n">
        <v>35000</v>
      </c>
      <c r="F323" s="43" t="n">
        <f>ROUND(D323*E323,0)</f>
        <v>280000</v>
      </c>
      <c r="G323" s="43" t="n">
        <v>201600</v>
      </c>
      <c r="H323" s="43" t="n">
        <f>F323-G323</f>
        <v>78400</v>
      </c>
      <c r="I323" s="41" t="str">
        <v>架空サンプル</v>
      </c>
    </row>
    <row r="324" ht="25" customHeight="1">
      <c r="A324" s="42" t="d">
        <v>2026-02-15T00:00:00.000Z</v>
      </c>
      <c r="B324" s="41" t="str">
        <v>木工所</v>
      </c>
      <c r="C324" s="41" t="str">
        <v>収納棚</v>
      </c>
      <c r="D324" s="43" t="n">
        <v>13</v>
      </c>
      <c r="E324" s="43" t="n">
        <v>35000</v>
      </c>
      <c r="F324" s="43" t="n">
        <f>ROUND(D324*E324,0)</f>
        <v>455000</v>
      </c>
      <c r="G324" s="43" t="n">
        <v>327600</v>
      </c>
      <c r="H324" s="43" t="n">
        <f>F324-G324</f>
        <v>127400</v>
      </c>
      <c r="I324" s="41" t="str">
        <v>架空サンプル</v>
      </c>
    </row>
    <row r="325" ht="25" customHeight="1">
      <c r="A325" s="42" t="d">
        <v>2026-02-25T00:00:00.000Z</v>
      </c>
      <c r="B325" s="41" t="str">
        <v>木工所</v>
      </c>
      <c r="C325" s="41" t="str">
        <v>収納棚</v>
      </c>
      <c r="D325" s="43" t="n">
        <v>18</v>
      </c>
      <c r="E325" s="43" t="n">
        <v>35000</v>
      </c>
      <c r="F325" s="43" t="n">
        <f>ROUND(D325*E325,0)</f>
        <v>630000</v>
      </c>
      <c r="G325" s="43" t="n">
        <v>453600</v>
      </c>
      <c r="H325" s="43" t="n">
        <f>F325-G325</f>
        <v>176400</v>
      </c>
      <c r="I325" s="41" t="str">
        <v>架空サンプル</v>
      </c>
    </row>
    <row r="326" ht="25" customHeight="1">
      <c r="A326" s="42" t="d">
        <v>2026-02-05T00:00:00.000Z</v>
      </c>
      <c r="B326" s="41" t="str">
        <v>木工所</v>
      </c>
      <c r="C326" s="41" t="str">
        <v>木製小物</v>
      </c>
      <c r="D326" s="43" t="n">
        <v>11</v>
      </c>
      <c r="E326" s="43" t="n">
        <v>2500</v>
      </c>
      <c r="F326" s="43" t="n">
        <f>ROUND(D326*E326,0)</f>
        <v>27500</v>
      </c>
      <c r="G326" s="43" t="n">
        <v>13200</v>
      </c>
      <c r="H326" s="43" t="n">
        <f>F326-G326</f>
        <v>14300</v>
      </c>
      <c r="I326" s="41" t="str">
        <v>架空サンプル</v>
      </c>
    </row>
    <row r="327" ht="25" customHeight="1">
      <c r="A327" s="42" t="d">
        <v>2026-02-15T00:00:00.000Z</v>
      </c>
      <c r="B327" s="41" t="str">
        <v>木工所</v>
      </c>
      <c r="C327" s="41" t="str">
        <v>木製小物</v>
      </c>
      <c r="D327" s="43" t="n">
        <v>16</v>
      </c>
      <c r="E327" s="43" t="n">
        <v>2500</v>
      </c>
      <c r="F327" s="43" t="n">
        <f>ROUND(D327*E327,0)</f>
        <v>40000</v>
      </c>
      <c r="G327" s="43" t="n">
        <v>19200</v>
      </c>
      <c r="H327" s="43" t="n">
        <f>F327-G327</f>
        <v>20800</v>
      </c>
      <c r="I327" s="41" t="str">
        <v>架空サンプル</v>
      </c>
    </row>
    <row r="328" ht="25" customHeight="1">
      <c r="A328" s="42" t="d">
        <v>2026-02-25T00:00:00.000Z</v>
      </c>
      <c r="B328" s="41" t="str">
        <v>木工所</v>
      </c>
      <c r="C328" s="41" t="str">
        <v>木製小物</v>
      </c>
      <c r="D328" s="43" t="n">
        <v>4</v>
      </c>
      <c r="E328" s="43" t="n">
        <v>2500</v>
      </c>
      <c r="F328" s="43" t="n">
        <f>ROUND(D328*E328,0)</f>
        <v>10000</v>
      </c>
      <c r="G328" s="43" t="n">
        <v>4800</v>
      </c>
      <c r="H328" s="43" t="n">
        <f>F328-G328</f>
        <v>5200</v>
      </c>
      <c r="I328" s="41" t="str">
        <v>架空サンプル</v>
      </c>
    </row>
    <row r="329" ht="25" customHeight="1">
      <c r="A329" s="42" t="d">
        <v>2026-02-05T00:00:00.000Z</v>
      </c>
      <c r="B329" s="41" t="str">
        <v>農家</v>
      </c>
      <c r="C329" s="41" t="str">
        <v>野菜5kg箱</v>
      </c>
      <c r="D329" s="43" t="n">
        <v>32</v>
      </c>
      <c r="E329" s="43" t="n">
        <v>2000</v>
      </c>
      <c r="F329" s="43" t="n">
        <f>ROUND(D329*E329,0)</f>
        <v>64000</v>
      </c>
      <c r="G329" s="43" t="n">
        <v>34560</v>
      </c>
      <c r="H329" s="43" t="n">
        <f>F329-G329</f>
        <v>29440</v>
      </c>
      <c r="I329" s="41" t="str">
        <v>架空サンプル</v>
      </c>
    </row>
    <row r="330" ht="25" customHeight="1">
      <c r="A330" s="42" t="d">
        <v>2026-02-15T00:00:00.000Z</v>
      </c>
      <c r="B330" s="41" t="str">
        <v>農家</v>
      </c>
      <c r="C330" s="41" t="str">
        <v>野菜5kg箱</v>
      </c>
      <c r="D330" s="43" t="n">
        <v>20</v>
      </c>
      <c r="E330" s="43" t="n">
        <v>2000</v>
      </c>
      <c r="F330" s="43" t="n">
        <f>ROUND(D330*E330,0)</f>
        <v>40000</v>
      </c>
      <c r="G330" s="43" t="n">
        <v>21600</v>
      </c>
      <c r="H330" s="43" t="n">
        <f>F330-G330</f>
        <v>18400</v>
      </c>
      <c r="I330" s="41" t="str">
        <v>架空サンプル</v>
      </c>
    </row>
    <row r="331" ht="25" customHeight="1">
      <c r="A331" s="42" t="d">
        <v>2026-02-25T00:00:00.000Z</v>
      </c>
      <c r="B331" s="41" t="str">
        <v>農家</v>
      </c>
      <c r="C331" s="41" t="str">
        <v>野菜5kg箱</v>
      </c>
      <c r="D331" s="43" t="n">
        <v>25</v>
      </c>
      <c r="E331" s="43" t="n">
        <v>2000</v>
      </c>
      <c r="F331" s="43" t="n">
        <f>ROUND(D331*E331,0)</f>
        <v>50000</v>
      </c>
      <c r="G331" s="43" t="n">
        <v>27000</v>
      </c>
      <c r="H331" s="43" t="n">
        <f>F331-G331</f>
        <v>23000</v>
      </c>
      <c r="I331" s="41" t="str">
        <v>架空サンプル</v>
      </c>
    </row>
    <row r="332" ht="25" customHeight="1">
      <c r="A332" s="42" t="d">
        <v>2026-02-05T00:00:00.000Z</v>
      </c>
      <c r="B332" s="41" t="str">
        <v>農家</v>
      </c>
      <c r="C332" s="41" t="str">
        <v>トマト箱</v>
      </c>
      <c r="D332" s="43" t="n">
        <v>35</v>
      </c>
      <c r="E332" s="43" t="n">
        <v>1800</v>
      </c>
      <c r="F332" s="43" t="n">
        <f>ROUND(D332*E332,0)</f>
        <v>63000</v>
      </c>
      <c r="G332" s="43" t="n">
        <v>37800</v>
      </c>
      <c r="H332" s="43" t="n">
        <f>F332-G332</f>
        <v>25200</v>
      </c>
      <c r="I332" s="41" t="str">
        <v>架空サンプル</v>
      </c>
    </row>
    <row r="333" ht="25" customHeight="1">
      <c r="A333" s="42" t="d">
        <v>2026-02-15T00:00:00.000Z</v>
      </c>
      <c r="B333" s="41" t="str">
        <v>農家</v>
      </c>
      <c r="C333" s="41" t="str">
        <v>トマト箱</v>
      </c>
      <c r="D333" s="43" t="n">
        <v>23</v>
      </c>
      <c r="E333" s="43" t="n">
        <v>1800</v>
      </c>
      <c r="F333" s="43" t="n">
        <f>ROUND(D333*E333,0)</f>
        <v>41400</v>
      </c>
      <c r="G333" s="43" t="n">
        <v>24840</v>
      </c>
      <c r="H333" s="43" t="n">
        <f>F333-G333</f>
        <v>16560</v>
      </c>
      <c r="I333" s="41" t="str">
        <v>架空サンプル</v>
      </c>
    </row>
    <row r="334" ht="25" customHeight="1">
      <c r="A334" s="42" t="d">
        <v>2026-02-25T00:00:00.000Z</v>
      </c>
      <c r="B334" s="41" t="str">
        <v>農家</v>
      </c>
      <c r="C334" s="41" t="str">
        <v>トマト箱</v>
      </c>
      <c r="D334" s="43" t="n">
        <v>28</v>
      </c>
      <c r="E334" s="43" t="n">
        <v>1800</v>
      </c>
      <c r="F334" s="43" t="n">
        <f>ROUND(D334*E334,0)</f>
        <v>50400</v>
      </c>
      <c r="G334" s="43" t="n">
        <v>30240</v>
      </c>
      <c r="H334" s="43" t="n">
        <f>F334-G334</f>
        <v>20160</v>
      </c>
      <c r="I334" s="41" t="str">
        <v>架空サンプル</v>
      </c>
    </row>
    <row r="335" ht="25" customHeight="1">
      <c r="A335" s="42" t="d">
        <v>2026-02-05T00:00:00.000Z</v>
      </c>
      <c r="B335" s="41" t="str">
        <v>農家</v>
      </c>
      <c r="C335" s="41" t="str">
        <v>米5kg</v>
      </c>
      <c r="D335" s="43" t="n">
        <v>21</v>
      </c>
      <c r="E335" s="43" t="n">
        <v>3200</v>
      </c>
      <c r="F335" s="43" t="n">
        <f>ROUND(D335*E335,0)</f>
        <v>67200</v>
      </c>
      <c r="G335" s="43" t="n">
        <v>44352</v>
      </c>
      <c r="H335" s="43" t="n">
        <f>F335-G335</f>
        <v>22848</v>
      </c>
      <c r="I335" s="41" t="str">
        <v>架空サンプル</v>
      </c>
    </row>
    <row r="336" ht="25" customHeight="1">
      <c r="A336" s="42" t="d">
        <v>2026-02-15T00:00:00.000Z</v>
      </c>
      <c r="B336" s="41" t="str">
        <v>農家</v>
      </c>
      <c r="C336" s="41" t="str">
        <v>米5kg</v>
      </c>
      <c r="D336" s="43" t="n">
        <v>26</v>
      </c>
      <c r="E336" s="43" t="n">
        <v>3200</v>
      </c>
      <c r="F336" s="43" t="n">
        <f>ROUND(D336*E336,0)</f>
        <v>83200</v>
      </c>
      <c r="G336" s="43" t="n">
        <v>54912</v>
      </c>
      <c r="H336" s="43" t="n">
        <f>F336-G336</f>
        <v>28288</v>
      </c>
      <c r="I336" s="41" t="str">
        <v>架空サンプル</v>
      </c>
    </row>
    <row r="337" ht="25" customHeight="1">
      <c r="A337" s="42" t="d">
        <v>2026-02-25T00:00:00.000Z</v>
      </c>
      <c r="B337" s="41" t="str">
        <v>農家</v>
      </c>
      <c r="C337" s="41" t="str">
        <v>米5kg</v>
      </c>
      <c r="D337" s="43" t="n">
        <v>31</v>
      </c>
      <c r="E337" s="43" t="n">
        <v>3200</v>
      </c>
      <c r="F337" s="43" t="n">
        <f>ROUND(D337*E337,0)</f>
        <v>99200</v>
      </c>
      <c r="G337" s="43" t="n">
        <v>65472</v>
      </c>
      <c r="H337" s="43" t="n">
        <f>F337-G337</f>
        <v>33728</v>
      </c>
      <c r="I337" s="41" t="str">
        <v>架空サンプル</v>
      </c>
    </row>
    <row r="338" ht="25" customHeight="1">
      <c r="A338" s="42" t="d">
        <v>2026-02-05T00:00:00.000Z</v>
      </c>
      <c r="B338" s="41" t="str">
        <v>農家</v>
      </c>
      <c r="C338" s="41" t="str">
        <v>季節の果物</v>
      </c>
      <c r="D338" s="43" t="n">
        <v>24</v>
      </c>
      <c r="E338" s="43" t="n">
        <v>4000</v>
      </c>
      <c r="F338" s="43" t="n">
        <f>ROUND(D338*E338,0)</f>
        <v>96000</v>
      </c>
      <c r="G338" s="43" t="n">
        <v>69120</v>
      </c>
      <c r="H338" s="43" t="n">
        <f>F338-G338</f>
        <v>26880</v>
      </c>
      <c r="I338" s="41" t="str">
        <v>架空サンプル</v>
      </c>
    </row>
    <row r="339" ht="25" customHeight="1">
      <c r="A339" s="42" t="d">
        <v>2026-02-15T00:00:00.000Z</v>
      </c>
      <c r="B339" s="41" t="str">
        <v>農家</v>
      </c>
      <c r="C339" s="41" t="str">
        <v>季節の果物</v>
      </c>
      <c r="D339" s="43" t="n">
        <v>29</v>
      </c>
      <c r="E339" s="43" t="n">
        <v>4000</v>
      </c>
      <c r="F339" s="43" t="n">
        <f>ROUND(D339*E339,0)</f>
        <v>116000</v>
      </c>
      <c r="G339" s="43" t="n">
        <v>83520</v>
      </c>
      <c r="H339" s="43" t="n">
        <f>F339-G339</f>
        <v>32480</v>
      </c>
      <c r="I339" s="41" t="str">
        <v>架空サンプル</v>
      </c>
    </row>
    <row r="340" ht="25" customHeight="1">
      <c r="A340" s="42" t="d">
        <v>2026-02-25T00:00:00.000Z</v>
      </c>
      <c r="B340" s="41" t="str">
        <v>農家</v>
      </c>
      <c r="C340" s="41" t="str">
        <v>季節の果物</v>
      </c>
      <c r="D340" s="43" t="n">
        <v>34</v>
      </c>
      <c r="E340" s="43" t="n">
        <v>4000</v>
      </c>
      <c r="F340" s="43" t="n">
        <f>ROUND(D340*E340,0)</f>
        <v>136000</v>
      </c>
      <c r="G340" s="43" t="n">
        <v>97920</v>
      </c>
      <c r="H340" s="43" t="n">
        <f>F340-G340</f>
        <v>38080</v>
      </c>
      <c r="I340" s="41" t="str">
        <v>架空サンプル</v>
      </c>
    </row>
    <row r="341" ht="25" customHeight="1">
      <c r="A341" s="42" t="d">
        <v>2026-03-05T00:00:00.000Z</v>
      </c>
      <c r="B341" s="41" t="str">
        <v>木工所</v>
      </c>
      <c r="C341" s="41" t="str">
        <v>テーブル</v>
      </c>
      <c r="D341" s="43" t="n">
        <v>9</v>
      </c>
      <c r="E341" s="43" t="n">
        <v>50000</v>
      </c>
      <c r="F341" s="43" t="n">
        <f>ROUND(D341*E341,0)</f>
        <v>450000</v>
      </c>
      <c r="G341" s="43" t="n">
        <v>297000</v>
      </c>
      <c r="H341" s="43" t="n">
        <f>F341-G341</f>
        <v>153000</v>
      </c>
      <c r="I341" s="41" t="str">
        <v>架空サンプル</v>
      </c>
    </row>
    <row r="342" ht="25" customHeight="1">
      <c r="A342" s="42" t="d">
        <v>2026-03-15T00:00:00.000Z</v>
      </c>
      <c r="B342" s="41" t="str">
        <v>木工所</v>
      </c>
      <c r="C342" s="41" t="str">
        <v>テーブル</v>
      </c>
      <c r="D342" s="43" t="n">
        <v>14</v>
      </c>
      <c r="E342" s="43" t="n">
        <v>50000</v>
      </c>
      <c r="F342" s="43" t="n">
        <f>ROUND(D342*E342,0)</f>
        <v>700000</v>
      </c>
      <c r="G342" s="43" t="n">
        <v>462000</v>
      </c>
      <c r="H342" s="43" t="n">
        <f>F342-G342</f>
        <v>238000</v>
      </c>
      <c r="I342" s="41" t="str">
        <v>架空サンプル</v>
      </c>
    </row>
    <row r="343" ht="25" customHeight="1">
      <c r="A343" s="42" t="d">
        <v>2026-03-25T00:00:00.000Z</v>
      </c>
      <c r="B343" s="41" t="str">
        <v>木工所</v>
      </c>
      <c r="C343" s="41" t="str">
        <v>テーブル</v>
      </c>
      <c r="D343" s="43" t="n">
        <v>2</v>
      </c>
      <c r="E343" s="43" t="n">
        <v>50000</v>
      </c>
      <c r="F343" s="43" t="n">
        <f>ROUND(D343*E343,0)</f>
        <v>100000</v>
      </c>
      <c r="G343" s="43" t="n">
        <v>66000</v>
      </c>
      <c r="H343" s="43" t="n">
        <f>F343-G343</f>
        <v>34000</v>
      </c>
      <c r="I343" s="41" t="str">
        <v>架空サンプル</v>
      </c>
    </row>
    <row r="344" ht="25" customHeight="1">
      <c r="A344" s="42" t="d">
        <v>2026-03-05T00:00:00.000Z</v>
      </c>
      <c r="B344" s="41" t="str">
        <v>木工所</v>
      </c>
      <c r="C344" s="41" t="str">
        <v>椅子</v>
      </c>
      <c r="D344" s="43" t="n">
        <v>12</v>
      </c>
      <c r="E344" s="43" t="n">
        <v>15000</v>
      </c>
      <c r="F344" s="43" t="n">
        <f>ROUND(D344*E344,0)</f>
        <v>180000</v>
      </c>
      <c r="G344" s="43" t="n">
        <v>129600</v>
      </c>
      <c r="H344" s="43" t="n">
        <f>F344-G344</f>
        <v>50400</v>
      </c>
      <c r="I344" s="41" t="str">
        <v>架空サンプル</v>
      </c>
    </row>
    <row r="345" ht="25" customHeight="1">
      <c r="A345" s="42" t="d">
        <v>2026-03-15T00:00:00.000Z</v>
      </c>
      <c r="B345" s="41" t="str">
        <v>木工所</v>
      </c>
      <c r="C345" s="41" t="str">
        <v>椅子</v>
      </c>
      <c r="D345" s="43" t="n">
        <v>17</v>
      </c>
      <c r="E345" s="43" t="n">
        <v>15000</v>
      </c>
      <c r="F345" s="43" t="n">
        <f>ROUND(D345*E345,0)</f>
        <v>255000</v>
      </c>
      <c r="G345" s="43" t="n">
        <v>183600</v>
      </c>
      <c r="H345" s="43" t="n">
        <f>F345-G345</f>
        <v>71400</v>
      </c>
      <c r="I345" s="41" t="str">
        <v>架空サンプル</v>
      </c>
    </row>
    <row r="346" ht="25" customHeight="1">
      <c r="A346" s="42" t="d">
        <v>2026-03-25T00:00:00.000Z</v>
      </c>
      <c r="B346" s="41" t="str">
        <v>木工所</v>
      </c>
      <c r="C346" s="41" t="str">
        <v>椅子</v>
      </c>
      <c r="D346" s="43" t="n">
        <v>5</v>
      </c>
      <c r="E346" s="43" t="n">
        <v>15000</v>
      </c>
      <c r="F346" s="43" t="n">
        <f>ROUND(D346*E346,0)</f>
        <v>75000</v>
      </c>
      <c r="G346" s="43" t="n">
        <v>54000</v>
      </c>
      <c r="H346" s="43" t="n">
        <f>F346-G346</f>
        <v>21000</v>
      </c>
      <c r="I346" s="41" t="str">
        <v>架空サンプル</v>
      </c>
    </row>
    <row r="347" ht="25" customHeight="1">
      <c r="A347" s="42" t="d">
        <v>2026-03-05T00:00:00.000Z</v>
      </c>
      <c r="B347" s="41" t="str">
        <v>木工所</v>
      </c>
      <c r="C347" s="41" t="str">
        <v>収納棚</v>
      </c>
      <c r="D347" s="43" t="n">
        <v>15</v>
      </c>
      <c r="E347" s="43" t="n">
        <v>35000</v>
      </c>
      <c r="F347" s="43" t="n">
        <f>ROUND(D347*E347,0)</f>
        <v>525000</v>
      </c>
      <c r="G347" s="43" t="n">
        <v>252000</v>
      </c>
      <c r="H347" s="43" t="n">
        <f>F347-G347</f>
        <v>273000</v>
      </c>
      <c r="I347" s="41" t="str">
        <v>架空サンプル</v>
      </c>
    </row>
    <row r="348" ht="25" customHeight="1">
      <c r="A348" s="42" t="d">
        <v>2026-03-15T00:00:00.000Z</v>
      </c>
      <c r="B348" s="41" t="str">
        <v>木工所</v>
      </c>
      <c r="C348" s="41" t="str">
        <v>収納棚</v>
      </c>
      <c r="D348" s="43" t="n">
        <v>3</v>
      </c>
      <c r="E348" s="43" t="n">
        <v>35000</v>
      </c>
      <c r="F348" s="43" t="n">
        <f>ROUND(D348*E348,0)</f>
        <v>105000</v>
      </c>
      <c r="G348" s="43" t="n">
        <v>50400</v>
      </c>
      <c r="H348" s="43" t="n">
        <f>F348-G348</f>
        <v>54600</v>
      </c>
      <c r="I348" s="41" t="str">
        <v>架空サンプル</v>
      </c>
    </row>
    <row r="349" ht="25" customHeight="1">
      <c r="A349" s="42" t="d">
        <v>2026-03-25T00:00:00.000Z</v>
      </c>
      <c r="B349" s="41" t="str">
        <v>木工所</v>
      </c>
      <c r="C349" s="41" t="str">
        <v>収納棚</v>
      </c>
      <c r="D349" s="43" t="n">
        <v>8</v>
      </c>
      <c r="E349" s="43" t="n">
        <v>35000</v>
      </c>
      <c r="F349" s="43" t="n">
        <f>ROUND(D349*E349,0)</f>
        <v>280000</v>
      </c>
      <c r="G349" s="43" t="n">
        <v>134400</v>
      </c>
      <c r="H349" s="43" t="n">
        <f>F349-G349</f>
        <v>145600</v>
      </c>
      <c r="I349" s="41" t="str">
        <v>架空サンプル</v>
      </c>
    </row>
    <row r="350" ht="25" customHeight="1">
      <c r="A350" s="42" t="d">
        <v>2026-03-05T00:00:00.000Z</v>
      </c>
      <c r="B350" s="41" t="str">
        <v>木工所</v>
      </c>
      <c r="C350" s="41" t="str">
        <v>木製小物</v>
      </c>
      <c r="D350" s="43" t="n">
        <v>18</v>
      </c>
      <c r="E350" s="43" t="n">
        <v>2500</v>
      </c>
      <c r="F350" s="43" t="n">
        <f>ROUND(D350*E350,0)</f>
        <v>45000</v>
      </c>
      <c r="G350" s="43" t="n">
        <v>24300</v>
      </c>
      <c r="H350" s="43" t="n">
        <f>F350-G350</f>
        <v>20700</v>
      </c>
      <c r="I350" s="41" t="str">
        <v>架空サンプル</v>
      </c>
    </row>
    <row r="351" ht="25" customHeight="1">
      <c r="A351" s="42" t="d">
        <v>2026-03-15T00:00:00.000Z</v>
      </c>
      <c r="B351" s="41" t="str">
        <v>木工所</v>
      </c>
      <c r="C351" s="41" t="str">
        <v>木製小物</v>
      </c>
      <c r="D351" s="43" t="n">
        <v>6</v>
      </c>
      <c r="E351" s="43" t="n">
        <v>2500</v>
      </c>
      <c r="F351" s="43" t="n">
        <f>ROUND(D351*E351,0)</f>
        <v>15000</v>
      </c>
      <c r="G351" s="43" t="n">
        <v>8100</v>
      </c>
      <c r="H351" s="43" t="n">
        <f>F351-G351</f>
        <v>6900</v>
      </c>
      <c r="I351" s="41" t="str">
        <v>架空サンプル</v>
      </c>
    </row>
    <row r="352" ht="25" customHeight="1">
      <c r="A352" s="42" t="d">
        <v>2026-03-25T00:00:00.000Z</v>
      </c>
      <c r="B352" s="41" t="str">
        <v>木工所</v>
      </c>
      <c r="C352" s="41" t="str">
        <v>木製小物</v>
      </c>
      <c r="D352" s="43" t="n">
        <v>11</v>
      </c>
      <c r="E352" s="43" t="n">
        <v>2500</v>
      </c>
      <c r="F352" s="43" t="n">
        <f>ROUND(D352*E352,0)</f>
        <v>27500</v>
      </c>
      <c r="G352" s="43" t="n">
        <v>14850</v>
      </c>
      <c r="H352" s="43" t="n">
        <f>F352-G352</f>
        <v>12650</v>
      </c>
      <c r="I352" s="41" t="str">
        <v>架空サンプル</v>
      </c>
    </row>
    <row r="353" ht="25" customHeight="1">
      <c r="A353" s="42" t="d">
        <v>2026-03-05T00:00:00.000Z</v>
      </c>
      <c r="B353" s="41" t="str">
        <v>農家</v>
      </c>
      <c r="C353" s="41" t="str">
        <v>野菜5kg箱</v>
      </c>
      <c r="D353" s="43" t="n">
        <v>22</v>
      </c>
      <c r="E353" s="43" t="n">
        <v>2000</v>
      </c>
      <c r="F353" s="43" t="n">
        <f>ROUND(D353*E353,0)</f>
        <v>44000</v>
      </c>
      <c r="G353" s="43" t="n">
        <v>26400</v>
      </c>
      <c r="H353" s="43" t="n">
        <f>F353-G353</f>
        <v>17600</v>
      </c>
      <c r="I353" s="41" t="str">
        <v>架空サンプル</v>
      </c>
    </row>
    <row r="354" ht="25" customHeight="1">
      <c r="A354" s="42" t="d">
        <v>2026-03-15T00:00:00.000Z</v>
      </c>
      <c r="B354" s="41" t="str">
        <v>農家</v>
      </c>
      <c r="C354" s="41" t="str">
        <v>野菜5kg箱</v>
      </c>
      <c r="D354" s="43" t="n">
        <v>27</v>
      </c>
      <c r="E354" s="43" t="n">
        <v>2000</v>
      </c>
      <c r="F354" s="43" t="n">
        <f>ROUND(D354*E354,0)</f>
        <v>54000</v>
      </c>
      <c r="G354" s="43" t="n">
        <v>32400</v>
      </c>
      <c r="H354" s="43" t="n">
        <f>F354-G354</f>
        <v>21600</v>
      </c>
      <c r="I354" s="41" t="str">
        <v>架空サンプル</v>
      </c>
    </row>
    <row r="355" ht="25" customHeight="1">
      <c r="A355" s="42" t="d">
        <v>2026-03-25T00:00:00.000Z</v>
      </c>
      <c r="B355" s="41" t="str">
        <v>農家</v>
      </c>
      <c r="C355" s="41" t="str">
        <v>野菜5kg箱</v>
      </c>
      <c r="D355" s="43" t="n">
        <v>32</v>
      </c>
      <c r="E355" s="43" t="n">
        <v>2000</v>
      </c>
      <c r="F355" s="43" t="n">
        <f>ROUND(D355*E355,0)</f>
        <v>64000</v>
      </c>
      <c r="G355" s="43" t="n">
        <v>38400</v>
      </c>
      <c r="H355" s="43" t="n">
        <f>F355-G355</f>
        <v>25600</v>
      </c>
      <c r="I355" s="41" t="str">
        <v>架空サンプル</v>
      </c>
    </row>
    <row r="356" ht="25" customHeight="1">
      <c r="A356" s="42" t="d">
        <v>2026-03-05T00:00:00.000Z</v>
      </c>
      <c r="B356" s="41" t="str">
        <v>農家</v>
      </c>
      <c r="C356" s="41" t="str">
        <v>トマト箱</v>
      </c>
      <c r="D356" s="43" t="n">
        <v>25</v>
      </c>
      <c r="E356" s="43" t="n">
        <v>1800</v>
      </c>
      <c r="F356" s="43" t="n">
        <f>ROUND(D356*E356,0)</f>
        <v>45000</v>
      </c>
      <c r="G356" s="43" t="n">
        <v>29700</v>
      </c>
      <c r="H356" s="43" t="n">
        <f>F356-G356</f>
        <v>15300</v>
      </c>
      <c r="I356" s="41" t="str">
        <v>架空サンプル</v>
      </c>
    </row>
    <row r="357" ht="25" customHeight="1">
      <c r="A357" s="42" t="d">
        <v>2026-03-15T00:00:00.000Z</v>
      </c>
      <c r="B357" s="41" t="str">
        <v>農家</v>
      </c>
      <c r="C357" s="41" t="str">
        <v>トマト箱</v>
      </c>
      <c r="D357" s="43" t="n">
        <v>30</v>
      </c>
      <c r="E357" s="43" t="n">
        <v>1800</v>
      </c>
      <c r="F357" s="43" t="n">
        <f>ROUND(D357*E357,0)</f>
        <v>54000</v>
      </c>
      <c r="G357" s="43" t="n">
        <v>35640</v>
      </c>
      <c r="H357" s="43" t="n">
        <f>F357-G357</f>
        <v>18360</v>
      </c>
      <c r="I357" s="41" t="str">
        <v>架空サンプル</v>
      </c>
    </row>
    <row r="358" ht="25" customHeight="1">
      <c r="A358" s="42" t="d">
        <v>2026-03-25T00:00:00.000Z</v>
      </c>
      <c r="B358" s="41" t="str">
        <v>農家</v>
      </c>
      <c r="C358" s="41" t="str">
        <v>トマト箱</v>
      </c>
      <c r="D358" s="43" t="n">
        <v>35</v>
      </c>
      <c r="E358" s="43" t="n">
        <v>1800</v>
      </c>
      <c r="F358" s="43" t="n">
        <f>ROUND(D358*E358,0)</f>
        <v>63000</v>
      </c>
      <c r="G358" s="43" t="n">
        <v>41580</v>
      </c>
      <c r="H358" s="43" t="n">
        <f>F358-G358</f>
        <v>21420</v>
      </c>
      <c r="I358" s="41" t="str">
        <v>架空サンプル</v>
      </c>
    </row>
    <row r="359" ht="25" customHeight="1">
      <c r="A359" s="42" t="d">
        <v>2026-03-05T00:00:00.000Z</v>
      </c>
      <c r="B359" s="41" t="str">
        <v>農家</v>
      </c>
      <c r="C359" s="41" t="str">
        <v>米5kg</v>
      </c>
      <c r="D359" s="43" t="n">
        <v>28</v>
      </c>
      <c r="E359" s="43" t="n">
        <v>3200</v>
      </c>
      <c r="F359" s="43" t="n">
        <f>ROUND(D359*E359,0)</f>
        <v>89600</v>
      </c>
      <c r="G359" s="43" t="n">
        <v>64512</v>
      </c>
      <c r="H359" s="43" t="n">
        <f>F359-G359</f>
        <v>25088</v>
      </c>
      <c r="I359" s="41" t="str">
        <v>架空サンプル</v>
      </c>
    </row>
    <row r="360" ht="25" customHeight="1">
      <c r="A360" s="42" t="d">
        <v>2026-03-15T00:00:00.000Z</v>
      </c>
      <c r="B360" s="41" t="str">
        <v>農家</v>
      </c>
      <c r="C360" s="41" t="str">
        <v>米5kg</v>
      </c>
      <c r="D360" s="43" t="n">
        <v>33</v>
      </c>
      <c r="E360" s="43" t="n">
        <v>3200</v>
      </c>
      <c r="F360" s="43" t="n">
        <f>ROUND(D360*E360,0)</f>
        <v>105600</v>
      </c>
      <c r="G360" s="43" t="n">
        <v>76032</v>
      </c>
      <c r="H360" s="43" t="n">
        <f>F360-G360</f>
        <v>29568</v>
      </c>
      <c r="I360" s="41" t="str">
        <v>架空サンプル</v>
      </c>
    </row>
    <row r="361" ht="25" customHeight="1">
      <c r="A361" s="42" t="d">
        <v>2026-03-25T00:00:00.000Z</v>
      </c>
      <c r="B361" s="41" t="str">
        <v>農家</v>
      </c>
      <c r="C361" s="41" t="str">
        <v>米5kg</v>
      </c>
      <c r="D361" s="43" t="n">
        <v>21</v>
      </c>
      <c r="E361" s="43" t="n">
        <v>3200</v>
      </c>
      <c r="F361" s="43" t="n">
        <f>ROUND(D361*E361,0)</f>
        <v>67200</v>
      </c>
      <c r="G361" s="43" t="n">
        <v>48384</v>
      </c>
      <c r="H361" s="43" t="n">
        <f>F361-G361</f>
        <v>18816</v>
      </c>
      <c r="I361" s="41" t="str">
        <v>架空サンプル</v>
      </c>
    </row>
    <row r="362" ht="25" customHeight="1">
      <c r="A362" s="42" t="d">
        <v>2026-03-05T00:00:00.000Z</v>
      </c>
      <c r="B362" s="41" t="str">
        <v>農家</v>
      </c>
      <c r="C362" s="41" t="str">
        <v>季節の果物</v>
      </c>
      <c r="D362" s="43" t="n">
        <v>31</v>
      </c>
      <c r="E362" s="43" t="n">
        <v>4000</v>
      </c>
      <c r="F362" s="43" t="n">
        <f>ROUND(D362*E362,0)</f>
        <v>124000</v>
      </c>
      <c r="G362" s="43" t="n">
        <v>59520</v>
      </c>
      <c r="H362" s="43" t="n">
        <f>F362-G362</f>
        <v>64480</v>
      </c>
      <c r="I362" s="41" t="str">
        <v>架空サンプル</v>
      </c>
    </row>
    <row r="363" ht="25" customHeight="1">
      <c r="A363" s="42" t="d">
        <v>2026-03-15T00:00:00.000Z</v>
      </c>
      <c r="B363" s="41" t="str">
        <v>農家</v>
      </c>
      <c r="C363" s="41" t="str">
        <v>季節の果物</v>
      </c>
      <c r="D363" s="43" t="n">
        <v>36</v>
      </c>
      <c r="E363" s="43" t="n">
        <v>4000</v>
      </c>
      <c r="F363" s="43" t="n">
        <f>ROUND(D363*E363,0)</f>
        <v>144000</v>
      </c>
      <c r="G363" s="43" t="n">
        <v>69120</v>
      </c>
      <c r="H363" s="43" t="n">
        <f>F363-G363</f>
        <v>74880</v>
      </c>
      <c r="I363" s="41" t="str">
        <v>架空サンプル</v>
      </c>
    </row>
    <row r="364" ht="25" customHeight="1">
      <c r="A364" s="42" t="d">
        <v>2026-03-25T00:00:00.000Z</v>
      </c>
      <c r="B364" s="41" t="str">
        <v>農家</v>
      </c>
      <c r="C364" s="41" t="str">
        <v>季節の果物</v>
      </c>
      <c r="D364" s="43" t="n">
        <v>24</v>
      </c>
      <c r="E364" s="43" t="n">
        <v>4000</v>
      </c>
      <c r="F364" s="43" t="n">
        <f>ROUND(D364*E364,0)</f>
        <v>96000</v>
      </c>
      <c r="G364" s="43" t="n">
        <v>46080</v>
      </c>
      <c r="H364" s="43" t="n">
        <f>F364-G364</f>
        <v>49920</v>
      </c>
      <c r="I364" s="41" t="str">
        <v>架空サンプル</v>
      </c>
    </row>
    <row r="365" ht="25" customHeight="1">
      <c r="A365" s="42" t="d">
        <v>2026-04-05T00:00:00.000Z</v>
      </c>
      <c r="B365" s="41" t="str">
        <v>木工所</v>
      </c>
      <c r="C365" s="41" t="str">
        <v>テーブル</v>
      </c>
      <c r="D365" s="43" t="n">
        <v>16</v>
      </c>
      <c r="E365" s="43" t="n">
        <v>50000</v>
      </c>
      <c r="F365" s="43" t="n">
        <f>ROUND(D365*E365,0)</f>
        <v>800000</v>
      </c>
      <c r="G365" s="43" t="n">
        <v>576000</v>
      </c>
      <c r="H365" s="43" t="n">
        <f>F365-G365</f>
        <v>224000</v>
      </c>
      <c r="I365" s="41" t="str">
        <v>架空サンプル</v>
      </c>
    </row>
    <row r="366" ht="25" customHeight="1">
      <c r="A366" s="42" t="d">
        <v>2026-04-15T00:00:00.000Z</v>
      </c>
      <c r="B366" s="41" t="str">
        <v>木工所</v>
      </c>
      <c r="C366" s="41" t="str">
        <v>テーブル</v>
      </c>
      <c r="D366" s="43" t="n">
        <v>4</v>
      </c>
      <c r="E366" s="43" t="n">
        <v>50000</v>
      </c>
      <c r="F366" s="43" t="n">
        <f>ROUND(D366*E366,0)</f>
        <v>200000</v>
      </c>
      <c r="G366" s="43" t="n">
        <v>144000</v>
      </c>
      <c r="H366" s="43" t="n">
        <f>F366-G366</f>
        <v>56000</v>
      </c>
      <c r="I366" s="41" t="str">
        <v>架空サンプル</v>
      </c>
    </row>
    <row r="367" ht="25" customHeight="1">
      <c r="A367" s="42" t="d">
        <v>2026-04-25T00:00:00.000Z</v>
      </c>
      <c r="B367" s="41" t="str">
        <v>木工所</v>
      </c>
      <c r="C367" s="41" t="str">
        <v>テーブル</v>
      </c>
      <c r="D367" s="43" t="n">
        <v>9</v>
      </c>
      <c r="E367" s="43" t="n">
        <v>50000</v>
      </c>
      <c r="F367" s="43" t="n">
        <f>ROUND(D367*E367,0)</f>
        <v>450000</v>
      </c>
      <c r="G367" s="43" t="n">
        <v>324000</v>
      </c>
      <c r="H367" s="43" t="n">
        <f>F367-G367</f>
        <v>126000</v>
      </c>
      <c r="I367" s="41" t="str">
        <v>架空サンプル</v>
      </c>
    </row>
    <row r="368" ht="25" customHeight="1">
      <c r="A368" s="42" t="d">
        <v>2026-04-05T00:00:00.000Z</v>
      </c>
      <c r="B368" s="41" t="str">
        <v>木工所</v>
      </c>
      <c r="C368" s="41" t="str">
        <v>椅子</v>
      </c>
      <c r="D368" s="43" t="n">
        <v>2</v>
      </c>
      <c r="E368" s="43" t="n">
        <v>15000</v>
      </c>
      <c r="F368" s="43" t="n">
        <f>ROUND(D368*E368,0)</f>
        <v>30000</v>
      </c>
      <c r="G368" s="43" t="n">
        <v>14400</v>
      </c>
      <c r="H368" s="43" t="n">
        <f>F368-G368</f>
        <v>15600</v>
      </c>
      <c r="I368" s="41" t="str">
        <v>架空サンプル</v>
      </c>
    </row>
    <row r="369" ht="25" customHeight="1">
      <c r="A369" s="42" t="d">
        <v>2026-04-15T00:00:00.000Z</v>
      </c>
      <c r="B369" s="41" t="str">
        <v>木工所</v>
      </c>
      <c r="C369" s="41" t="str">
        <v>椅子</v>
      </c>
      <c r="D369" s="43" t="n">
        <v>7</v>
      </c>
      <c r="E369" s="43" t="n">
        <v>15000</v>
      </c>
      <c r="F369" s="43" t="n">
        <f>ROUND(D369*E369,0)</f>
        <v>105000</v>
      </c>
      <c r="G369" s="43" t="n">
        <v>50400</v>
      </c>
      <c r="H369" s="43" t="n">
        <f>F369-G369</f>
        <v>54600</v>
      </c>
      <c r="I369" s="41" t="str">
        <v>架空サンプル</v>
      </c>
    </row>
    <row r="370" ht="25" customHeight="1">
      <c r="A370" s="42" t="d">
        <v>2026-04-25T00:00:00.000Z</v>
      </c>
      <c r="B370" s="41" t="str">
        <v>木工所</v>
      </c>
      <c r="C370" s="41" t="str">
        <v>椅子</v>
      </c>
      <c r="D370" s="43" t="n">
        <v>12</v>
      </c>
      <c r="E370" s="43" t="n">
        <v>15000</v>
      </c>
      <c r="F370" s="43" t="n">
        <f>ROUND(D370*E370,0)</f>
        <v>180000</v>
      </c>
      <c r="G370" s="43" t="n">
        <v>86400</v>
      </c>
      <c r="H370" s="43" t="n">
        <f>F370-G370</f>
        <v>93600</v>
      </c>
      <c r="I370" s="41" t="str">
        <v>架空サンプル</v>
      </c>
    </row>
    <row r="371" ht="25" customHeight="1">
      <c r="A371" s="42" t="d">
        <v>2026-04-05T00:00:00.000Z</v>
      </c>
      <c r="B371" s="41" t="str">
        <v>木工所</v>
      </c>
      <c r="C371" s="41" t="str">
        <v>収納棚</v>
      </c>
      <c r="D371" s="43" t="n">
        <v>5</v>
      </c>
      <c r="E371" s="43" t="n">
        <v>35000</v>
      </c>
      <c r="F371" s="43" t="n">
        <f>ROUND(D371*E371,0)</f>
        <v>175000</v>
      </c>
      <c r="G371" s="43" t="n">
        <v>94500</v>
      </c>
      <c r="H371" s="43" t="n">
        <f>F371-G371</f>
        <v>80500</v>
      </c>
      <c r="I371" s="41" t="str">
        <v>架空サンプル</v>
      </c>
    </row>
    <row r="372" ht="25" customHeight="1">
      <c r="A372" s="42" t="d">
        <v>2026-04-15T00:00:00.000Z</v>
      </c>
      <c r="B372" s="41" t="str">
        <v>木工所</v>
      </c>
      <c r="C372" s="41" t="str">
        <v>収納棚</v>
      </c>
      <c r="D372" s="43" t="n">
        <v>10</v>
      </c>
      <c r="E372" s="43" t="n">
        <v>35000</v>
      </c>
      <c r="F372" s="43" t="n">
        <f>ROUND(D372*E372,0)</f>
        <v>350000</v>
      </c>
      <c r="G372" s="43" t="n">
        <v>189000</v>
      </c>
      <c r="H372" s="43" t="n">
        <f>F372-G372</f>
        <v>161000</v>
      </c>
      <c r="I372" s="41" t="str">
        <v>架空サンプル</v>
      </c>
    </row>
    <row r="373" ht="25" customHeight="1">
      <c r="A373" s="42" t="d">
        <v>2026-04-25T00:00:00.000Z</v>
      </c>
      <c r="B373" s="41" t="str">
        <v>木工所</v>
      </c>
      <c r="C373" s="41" t="str">
        <v>収納棚</v>
      </c>
      <c r="D373" s="43" t="n">
        <v>15</v>
      </c>
      <c r="E373" s="43" t="n">
        <v>35000</v>
      </c>
      <c r="F373" s="43" t="n">
        <f>ROUND(D373*E373,0)</f>
        <v>525000</v>
      </c>
      <c r="G373" s="43" t="n">
        <v>283500</v>
      </c>
      <c r="H373" s="43" t="n">
        <f>F373-G373</f>
        <v>241500</v>
      </c>
      <c r="I373" s="41" t="str">
        <v>架空サンプル</v>
      </c>
    </row>
    <row r="374" ht="25" customHeight="1">
      <c r="A374" s="42" t="d">
        <v>2026-04-05T00:00:00.000Z</v>
      </c>
      <c r="B374" s="41" t="str">
        <v>木工所</v>
      </c>
      <c r="C374" s="41" t="str">
        <v>木製小物</v>
      </c>
      <c r="D374" s="43" t="n">
        <v>8</v>
      </c>
      <c r="E374" s="43" t="n">
        <v>2500</v>
      </c>
      <c r="F374" s="43" t="n">
        <f>ROUND(D374*E374,0)</f>
        <v>20000</v>
      </c>
      <c r="G374" s="43" t="n">
        <v>12000</v>
      </c>
      <c r="H374" s="43" t="n">
        <f>F374-G374</f>
        <v>8000</v>
      </c>
      <c r="I374" s="41" t="str">
        <v>架空サンプル</v>
      </c>
    </row>
    <row r="375" ht="25" customHeight="1">
      <c r="A375" s="42" t="d">
        <v>2026-04-15T00:00:00.000Z</v>
      </c>
      <c r="B375" s="41" t="str">
        <v>木工所</v>
      </c>
      <c r="C375" s="41" t="str">
        <v>木製小物</v>
      </c>
      <c r="D375" s="43" t="n">
        <v>13</v>
      </c>
      <c r="E375" s="43" t="n">
        <v>2500</v>
      </c>
      <c r="F375" s="43" t="n">
        <f>ROUND(D375*E375,0)</f>
        <v>32500</v>
      </c>
      <c r="G375" s="43" t="n">
        <v>19500</v>
      </c>
      <c r="H375" s="43" t="n">
        <f>F375-G375</f>
        <v>13000</v>
      </c>
      <c r="I375" s="41" t="str">
        <v>架空サンプル</v>
      </c>
    </row>
    <row r="376" ht="25" customHeight="1">
      <c r="A376" s="42" t="d">
        <v>2026-04-25T00:00:00.000Z</v>
      </c>
      <c r="B376" s="41" t="str">
        <v>木工所</v>
      </c>
      <c r="C376" s="41" t="str">
        <v>木製小物</v>
      </c>
      <c r="D376" s="43" t="n">
        <v>18</v>
      </c>
      <c r="E376" s="43" t="n">
        <v>2500</v>
      </c>
      <c r="F376" s="43" t="n">
        <f>ROUND(D376*E376,0)</f>
        <v>45000</v>
      </c>
      <c r="G376" s="43" t="n">
        <v>27000</v>
      </c>
      <c r="H376" s="43" t="n">
        <f>F376-G376</f>
        <v>18000</v>
      </c>
      <c r="I376" s="41" t="str">
        <v>架空サンプル</v>
      </c>
    </row>
    <row r="377" ht="25" customHeight="1">
      <c r="A377" s="42" t="d">
        <v>2026-04-05T00:00:00.000Z</v>
      </c>
      <c r="B377" s="41" t="str">
        <v>農家</v>
      </c>
      <c r="C377" s="41" t="str">
        <v>野菜5kg箱</v>
      </c>
      <c r="D377" s="43" t="n">
        <v>29</v>
      </c>
      <c r="E377" s="43" t="n">
        <v>2000</v>
      </c>
      <c r="F377" s="43" t="n">
        <f>ROUND(D377*E377,0)</f>
        <v>58000</v>
      </c>
      <c r="G377" s="43" t="n">
        <v>38280</v>
      </c>
      <c r="H377" s="43" t="n">
        <f>F377-G377</f>
        <v>19720</v>
      </c>
      <c r="I377" s="41" t="str">
        <v>架空サンプル</v>
      </c>
    </row>
    <row r="378" ht="25" customHeight="1">
      <c r="A378" s="42" t="d">
        <v>2026-04-15T00:00:00.000Z</v>
      </c>
      <c r="B378" s="41" t="str">
        <v>農家</v>
      </c>
      <c r="C378" s="41" t="str">
        <v>野菜5kg箱</v>
      </c>
      <c r="D378" s="43" t="n">
        <v>34</v>
      </c>
      <c r="E378" s="43" t="n">
        <v>2000</v>
      </c>
      <c r="F378" s="43" t="n">
        <f>ROUND(D378*E378,0)</f>
        <v>68000</v>
      </c>
      <c r="G378" s="43" t="n">
        <v>44880</v>
      </c>
      <c r="H378" s="43" t="n">
        <f>F378-G378</f>
        <v>23120</v>
      </c>
      <c r="I378" s="41" t="str">
        <v>架空サンプル</v>
      </c>
    </row>
    <row r="379" ht="25" customHeight="1">
      <c r="A379" s="42" t="d">
        <v>2026-04-25T00:00:00.000Z</v>
      </c>
      <c r="B379" s="41" t="str">
        <v>農家</v>
      </c>
      <c r="C379" s="41" t="str">
        <v>野菜5kg箱</v>
      </c>
      <c r="D379" s="43" t="n">
        <v>22</v>
      </c>
      <c r="E379" s="43" t="n">
        <v>2000</v>
      </c>
      <c r="F379" s="43" t="n">
        <f>ROUND(D379*E379,0)</f>
        <v>44000</v>
      </c>
      <c r="G379" s="43" t="n">
        <v>29040</v>
      </c>
      <c r="H379" s="43" t="n">
        <f>F379-G379</f>
        <v>14960</v>
      </c>
      <c r="I379" s="41" t="str">
        <v>架空サンプル</v>
      </c>
    </row>
    <row r="380" ht="25" customHeight="1">
      <c r="A380" s="42" t="d">
        <v>2026-04-05T00:00:00.000Z</v>
      </c>
      <c r="B380" s="41" t="str">
        <v>農家</v>
      </c>
      <c r="C380" s="41" t="str">
        <v>トマト箱</v>
      </c>
      <c r="D380" s="43" t="n">
        <v>32</v>
      </c>
      <c r="E380" s="43" t="n">
        <v>1800</v>
      </c>
      <c r="F380" s="43" t="n">
        <f>ROUND(D380*E380,0)</f>
        <v>57600</v>
      </c>
      <c r="G380" s="43" t="n">
        <v>41472</v>
      </c>
      <c r="H380" s="43" t="n">
        <f>F380-G380</f>
        <v>16128</v>
      </c>
      <c r="I380" s="41" t="str">
        <v>架空サンプル</v>
      </c>
    </row>
    <row r="381" ht="25" customHeight="1">
      <c r="A381" s="42" t="d">
        <v>2026-04-15T00:00:00.000Z</v>
      </c>
      <c r="B381" s="41" t="str">
        <v>農家</v>
      </c>
      <c r="C381" s="41" t="str">
        <v>トマト箱</v>
      </c>
      <c r="D381" s="43" t="n">
        <v>20</v>
      </c>
      <c r="E381" s="43" t="n">
        <v>1800</v>
      </c>
      <c r="F381" s="43" t="n">
        <f>ROUND(D381*E381,0)</f>
        <v>36000</v>
      </c>
      <c r="G381" s="43" t="n">
        <v>25920</v>
      </c>
      <c r="H381" s="43" t="n">
        <f>F381-G381</f>
        <v>10080</v>
      </c>
      <c r="I381" s="41" t="str">
        <v>架空サンプル</v>
      </c>
    </row>
    <row r="382" ht="25" customHeight="1">
      <c r="A382" s="42" t="d">
        <v>2026-04-25T00:00:00.000Z</v>
      </c>
      <c r="B382" s="41" t="str">
        <v>農家</v>
      </c>
      <c r="C382" s="41" t="str">
        <v>トマト箱</v>
      </c>
      <c r="D382" s="43" t="n">
        <v>25</v>
      </c>
      <c r="E382" s="43" t="n">
        <v>1800</v>
      </c>
      <c r="F382" s="43" t="n">
        <f>ROUND(D382*E382,0)</f>
        <v>45000</v>
      </c>
      <c r="G382" s="43" t="n">
        <v>32400</v>
      </c>
      <c r="H382" s="43" t="n">
        <f>F382-G382</f>
        <v>12600</v>
      </c>
      <c r="I382" s="41" t="str">
        <v>架空サンプル</v>
      </c>
    </row>
    <row r="383" ht="25" customHeight="1">
      <c r="A383" s="42" t="d">
        <v>2026-04-05T00:00:00.000Z</v>
      </c>
      <c r="B383" s="41" t="str">
        <v>農家</v>
      </c>
      <c r="C383" s="41" t="str">
        <v>米5kg</v>
      </c>
      <c r="D383" s="43" t="n">
        <v>35</v>
      </c>
      <c r="E383" s="43" t="n">
        <v>3200</v>
      </c>
      <c r="F383" s="43" t="n">
        <f>ROUND(D383*E383,0)</f>
        <v>112000</v>
      </c>
      <c r="G383" s="43" t="n">
        <v>53760</v>
      </c>
      <c r="H383" s="43" t="n">
        <f>F383-G383</f>
        <v>58240</v>
      </c>
      <c r="I383" s="41" t="str">
        <v>架空サンプル</v>
      </c>
    </row>
    <row r="384" ht="25" customHeight="1">
      <c r="A384" s="42" t="d">
        <v>2026-04-15T00:00:00.000Z</v>
      </c>
      <c r="B384" s="41" t="str">
        <v>農家</v>
      </c>
      <c r="C384" s="41" t="str">
        <v>米5kg</v>
      </c>
      <c r="D384" s="43" t="n">
        <v>23</v>
      </c>
      <c r="E384" s="43" t="n">
        <v>3200</v>
      </c>
      <c r="F384" s="43" t="n">
        <f>ROUND(D384*E384,0)</f>
        <v>73600</v>
      </c>
      <c r="G384" s="43" t="n">
        <v>35328</v>
      </c>
      <c r="H384" s="43" t="n">
        <f>F384-G384</f>
        <v>38272</v>
      </c>
      <c r="I384" s="41" t="str">
        <v>架空サンプル</v>
      </c>
    </row>
    <row r="385" ht="25" customHeight="1">
      <c r="A385" s="42" t="d">
        <v>2026-04-25T00:00:00.000Z</v>
      </c>
      <c r="B385" s="41" t="str">
        <v>農家</v>
      </c>
      <c r="C385" s="41" t="str">
        <v>米5kg</v>
      </c>
      <c r="D385" s="43" t="n">
        <v>28</v>
      </c>
      <c r="E385" s="43" t="n">
        <v>3200</v>
      </c>
      <c r="F385" s="43" t="n">
        <f>ROUND(D385*E385,0)</f>
        <v>89600</v>
      </c>
      <c r="G385" s="43" t="n">
        <v>43008</v>
      </c>
      <c r="H385" s="43" t="n">
        <f>F385-G385</f>
        <v>46592</v>
      </c>
      <c r="I385" s="41" t="str">
        <v>架空サンプル</v>
      </c>
    </row>
    <row r="386" ht="25" customHeight="1">
      <c r="A386" s="42" t="d">
        <v>2026-04-05T00:00:00.000Z</v>
      </c>
      <c r="B386" s="41" t="str">
        <v>農家</v>
      </c>
      <c r="C386" s="41" t="str">
        <v>季節の果物</v>
      </c>
      <c r="D386" s="43" t="n">
        <v>21</v>
      </c>
      <c r="E386" s="43" t="n">
        <v>4000</v>
      </c>
      <c r="F386" s="43" t="n">
        <f>ROUND(D386*E386,0)</f>
        <v>84000</v>
      </c>
      <c r="G386" s="43" t="n">
        <v>45360</v>
      </c>
      <c r="H386" s="43" t="n">
        <f>F386-G386</f>
        <v>38640</v>
      </c>
      <c r="I386" s="41" t="str">
        <v>架空サンプル</v>
      </c>
    </row>
    <row r="387" ht="25" customHeight="1">
      <c r="A387" s="42" t="d">
        <v>2026-04-15T00:00:00.000Z</v>
      </c>
      <c r="B387" s="41" t="str">
        <v>農家</v>
      </c>
      <c r="C387" s="41" t="str">
        <v>季節の果物</v>
      </c>
      <c r="D387" s="43" t="n">
        <v>26</v>
      </c>
      <c r="E387" s="43" t="n">
        <v>4000</v>
      </c>
      <c r="F387" s="43" t="n">
        <f>ROUND(D387*E387,0)</f>
        <v>104000</v>
      </c>
      <c r="G387" s="43" t="n">
        <v>56160</v>
      </c>
      <c r="H387" s="43" t="n">
        <f>F387-G387</f>
        <v>47840</v>
      </c>
      <c r="I387" s="41" t="str">
        <v>架空サンプル</v>
      </c>
    </row>
    <row r="388" ht="25" customHeight="1">
      <c r="A388" s="42" t="d">
        <v>2026-04-25T00:00:00.000Z</v>
      </c>
      <c r="B388" s="41" t="str">
        <v>農家</v>
      </c>
      <c r="C388" s="41" t="str">
        <v>季節の果物</v>
      </c>
      <c r="D388" s="43" t="n">
        <v>31</v>
      </c>
      <c r="E388" s="43" t="n">
        <v>4000</v>
      </c>
      <c r="F388" s="43" t="n">
        <f>ROUND(D388*E388,0)</f>
        <v>124000</v>
      </c>
      <c r="G388" s="43" t="n">
        <v>66960</v>
      </c>
      <c r="H388" s="43" t="n">
        <f>F388-G388</f>
        <v>57040</v>
      </c>
      <c r="I388" s="41" t="str">
        <v>架空サンプル</v>
      </c>
    </row>
    <row r="389" ht="25" customHeight="1">
      <c r="A389" s="42" t="d">
        <v>2026-05-05T00:00:00.000Z</v>
      </c>
      <c r="B389" s="41" t="str">
        <v>木工所</v>
      </c>
      <c r="C389" s="41" t="str">
        <v>テーブル</v>
      </c>
      <c r="D389" s="43" t="n">
        <v>6</v>
      </c>
      <c r="E389" s="43" t="n">
        <v>50000</v>
      </c>
      <c r="F389" s="43" t="n">
        <f>ROUND(D389*E389,0)</f>
        <v>300000</v>
      </c>
      <c r="G389" s="43" t="n">
        <v>144000</v>
      </c>
      <c r="H389" s="43" t="n">
        <f>F389-G389</f>
        <v>156000</v>
      </c>
      <c r="I389" s="41" t="str">
        <v>架空サンプル</v>
      </c>
    </row>
    <row r="390" ht="25" customHeight="1">
      <c r="A390" s="42" t="d">
        <v>2026-05-15T00:00:00.000Z</v>
      </c>
      <c r="B390" s="41" t="str">
        <v>木工所</v>
      </c>
      <c r="C390" s="41" t="str">
        <v>テーブル</v>
      </c>
      <c r="D390" s="43" t="n">
        <v>11</v>
      </c>
      <c r="E390" s="43" t="n">
        <v>50000</v>
      </c>
      <c r="F390" s="43" t="n">
        <f>ROUND(D390*E390,0)</f>
        <v>550000</v>
      </c>
      <c r="G390" s="43" t="n">
        <v>264000</v>
      </c>
      <c r="H390" s="43" t="n">
        <f>F390-G390</f>
        <v>286000</v>
      </c>
      <c r="I390" s="41" t="str">
        <v>架空サンプル</v>
      </c>
    </row>
    <row r="391" ht="25" customHeight="1">
      <c r="A391" s="42" t="d">
        <v>2026-05-25T00:00:00.000Z</v>
      </c>
      <c r="B391" s="41" t="str">
        <v>木工所</v>
      </c>
      <c r="C391" s="41" t="str">
        <v>テーブル</v>
      </c>
      <c r="D391" s="43" t="n">
        <v>16</v>
      </c>
      <c r="E391" s="43" t="n">
        <v>50000</v>
      </c>
      <c r="F391" s="43" t="n">
        <f>ROUND(D391*E391,0)</f>
        <v>800000</v>
      </c>
      <c r="G391" s="43" t="n">
        <v>384000</v>
      </c>
      <c r="H391" s="43" t="n">
        <f>F391-G391</f>
        <v>416000</v>
      </c>
      <c r="I391" s="41" t="str">
        <v>架空サンプル</v>
      </c>
    </row>
    <row r="392" ht="25" customHeight="1">
      <c r="A392" s="42" t="d">
        <v>2026-05-05T00:00:00.000Z</v>
      </c>
      <c r="B392" s="41" t="str">
        <v>木工所</v>
      </c>
      <c r="C392" s="41" t="str">
        <v>椅子</v>
      </c>
      <c r="D392" s="43" t="n">
        <v>9</v>
      </c>
      <c r="E392" s="43" t="n">
        <v>15000</v>
      </c>
      <c r="F392" s="43" t="n">
        <f>ROUND(D392*E392,0)</f>
        <v>135000</v>
      </c>
      <c r="G392" s="43" t="n">
        <v>72900</v>
      </c>
      <c r="H392" s="43" t="n">
        <f>F392-G392</f>
        <v>62100</v>
      </c>
      <c r="I392" s="41" t="str">
        <v>架空サンプル</v>
      </c>
    </row>
    <row r="393" ht="25" customHeight="1">
      <c r="A393" s="42" t="d">
        <v>2026-05-15T00:00:00.000Z</v>
      </c>
      <c r="B393" s="41" t="str">
        <v>木工所</v>
      </c>
      <c r="C393" s="41" t="str">
        <v>椅子</v>
      </c>
      <c r="D393" s="43" t="n">
        <v>14</v>
      </c>
      <c r="E393" s="43" t="n">
        <v>15000</v>
      </c>
      <c r="F393" s="43" t="n">
        <f>ROUND(D393*E393,0)</f>
        <v>210000</v>
      </c>
      <c r="G393" s="43" t="n">
        <v>113400</v>
      </c>
      <c r="H393" s="43" t="n">
        <f>F393-G393</f>
        <v>96600</v>
      </c>
      <c r="I393" s="41" t="str">
        <v>架空サンプル</v>
      </c>
    </row>
    <row r="394" ht="25" customHeight="1">
      <c r="A394" s="42" t="d">
        <v>2026-05-25T00:00:00.000Z</v>
      </c>
      <c r="B394" s="41" t="str">
        <v>木工所</v>
      </c>
      <c r="C394" s="41" t="str">
        <v>椅子</v>
      </c>
      <c r="D394" s="43" t="n">
        <v>2</v>
      </c>
      <c r="E394" s="43" t="n">
        <v>15000</v>
      </c>
      <c r="F394" s="43" t="n">
        <f>ROUND(D394*E394,0)</f>
        <v>30000</v>
      </c>
      <c r="G394" s="43" t="n">
        <v>16200</v>
      </c>
      <c r="H394" s="43" t="n">
        <f>F394-G394</f>
        <v>13800</v>
      </c>
      <c r="I394" s="41" t="str">
        <v>架空サンプル</v>
      </c>
    </row>
    <row r="395" ht="25" customHeight="1">
      <c r="A395" s="42" t="d">
        <v>2026-05-05T00:00:00.000Z</v>
      </c>
      <c r="B395" s="41" t="str">
        <v>木工所</v>
      </c>
      <c r="C395" s="41" t="str">
        <v>収納棚</v>
      </c>
      <c r="D395" s="43" t="n">
        <v>12</v>
      </c>
      <c r="E395" s="43" t="n">
        <v>35000</v>
      </c>
      <c r="F395" s="43" t="n">
        <f>ROUND(D395*E395,0)</f>
        <v>420000</v>
      </c>
      <c r="G395" s="43" t="n">
        <v>252000</v>
      </c>
      <c r="H395" s="43" t="n">
        <f>F395-G395</f>
        <v>168000</v>
      </c>
      <c r="I395" s="41" t="str">
        <v>架空サンプル</v>
      </c>
    </row>
    <row r="396" ht="25" customHeight="1">
      <c r="A396" s="42" t="d">
        <v>2026-05-15T00:00:00.000Z</v>
      </c>
      <c r="B396" s="41" t="str">
        <v>木工所</v>
      </c>
      <c r="C396" s="41" t="str">
        <v>収納棚</v>
      </c>
      <c r="D396" s="43" t="n">
        <v>17</v>
      </c>
      <c r="E396" s="43" t="n">
        <v>35000</v>
      </c>
      <c r="F396" s="43" t="n">
        <f>ROUND(D396*E396,0)</f>
        <v>595000</v>
      </c>
      <c r="G396" s="43" t="n">
        <v>357000</v>
      </c>
      <c r="H396" s="43" t="n">
        <f>F396-G396</f>
        <v>238000</v>
      </c>
      <c r="I396" s="41" t="str">
        <v>架空サンプル</v>
      </c>
    </row>
    <row r="397" ht="25" customHeight="1">
      <c r="A397" s="42" t="d">
        <v>2026-05-25T00:00:00.000Z</v>
      </c>
      <c r="B397" s="41" t="str">
        <v>木工所</v>
      </c>
      <c r="C397" s="41" t="str">
        <v>収納棚</v>
      </c>
      <c r="D397" s="43" t="n">
        <v>5</v>
      </c>
      <c r="E397" s="43" t="n">
        <v>35000</v>
      </c>
      <c r="F397" s="43" t="n">
        <f>ROUND(D397*E397,0)</f>
        <v>175000</v>
      </c>
      <c r="G397" s="43" t="n">
        <v>105000</v>
      </c>
      <c r="H397" s="43" t="n">
        <f>F397-G397</f>
        <v>70000</v>
      </c>
      <c r="I397" s="41" t="str">
        <v>架空サンプル</v>
      </c>
    </row>
    <row r="398" ht="25" customHeight="1">
      <c r="A398" s="42" t="d">
        <v>2026-05-05T00:00:00.000Z</v>
      </c>
      <c r="B398" s="41" t="str">
        <v>木工所</v>
      </c>
      <c r="C398" s="41" t="str">
        <v>木製小物</v>
      </c>
      <c r="D398" s="43" t="n">
        <v>15</v>
      </c>
      <c r="E398" s="43" t="n">
        <v>2500</v>
      </c>
      <c r="F398" s="43" t="n">
        <f>ROUND(D398*E398,0)</f>
        <v>37500</v>
      </c>
      <c r="G398" s="43" t="n">
        <v>24750</v>
      </c>
      <c r="H398" s="43" t="n">
        <f>F398-G398</f>
        <v>12750</v>
      </c>
      <c r="I398" s="41" t="str">
        <v>架空サンプル</v>
      </c>
    </row>
    <row r="399" ht="25" customHeight="1">
      <c r="A399" s="42" t="d">
        <v>2026-05-15T00:00:00.000Z</v>
      </c>
      <c r="B399" s="41" t="str">
        <v>木工所</v>
      </c>
      <c r="C399" s="41" t="str">
        <v>木製小物</v>
      </c>
      <c r="D399" s="43" t="n">
        <v>3</v>
      </c>
      <c r="E399" s="43" t="n">
        <v>2500</v>
      </c>
      <c r="F399" s="43" t="n">
        <f>ROUND(D399*E399,0)</f>
        <v>7500</v>
      </c>
      <c r="G399" s="43" t="n">
        <v>4950</v>
      </c>
      <c r="H399" s="43" t="n">
        <f>F399-G399</f>
        <v>2550</v>
      </c>
      <c r="I399" s="41" t="str">
        <v>架空サンプル</v>
      </c>
    </row>
    <row r="400" ht="25" customHeight="1">
      <c r="A400" s="42" t="d">
        <v>2026-05-25T00:00:00.000Z</v>
      </c>
      <c r="B400" s="41" t="str">
        <v>木工所</v>
      </c>
      <c r="C400" s="41" t="str">
        <v>木製小物</v>
      </c>
      <c r="D400" s="43" t="n">
        <v>8</v>
      </c>
      <c r="E400" s="43" t="n">
        <v>2500</v>
      </c>
      <c r="F400" s="43" t="n">
        <f>ROUND(D400*E400,0)</f>
        <v>20000</v>
      </c>
      <c r="G400" s="43" t="n">
        <v>13200</v>
      </c>
      <c r="H400" s="43" t="n">
        <f>F400-G400</f>
        <v>6800</v>
      </c>
      <c r="I400" s="41" t="str">
        <v>架空サンプル</v>
      </c>
    </row>
    <row r="401" ht="25" customHeight="1">
      <c r="A401" s="42" t="d">
        <v>2026-05-05T00:00:00.000Z</v>
      </c>
      <c r="B401" s="41" t="str">
        <v>農家</v>
      </c>
      <c r="C401" s="41" t="str">
        <v>野菜5kg箱</v>
      </c>
      <c r="D401" s="43" t="n">
        <v>36</v>
      </c>
      <c r="E401" s="43" t="n">
        <v>2000</v>
      </c>
      <c r="F401" s="43" t="n">
        <f>ROUND(D401*E401,0)</f>
        <v>72000</v>
      </c>
      <c r="G401" s="43" t="n">
        <v>51840</v>
      </c>
      <c r="H401" s="43" t="n">
        <f>F401-G401</f>
        <v>20160</v>
      </c>
      <c r="I401" s="41" t="str">
        <v>架空サンプル</v>
      </c>
    </row>
    <row r="402" ht="25" customHeight="1">
      <c r="A402" s="42" t="d">
        <v>2026-05-15T00:00:00.000Z</v>
      </c>
      <c r="B402" s="41" t="str">
        <v>農家</v>
      </c>
      <c r="C402" s="41" t="str">
        <v>野菜5kg箱</v>
      </c>
      <c r="D402" s="43" t="n">
        <v>24</v>
      </c>
      <c r="E402" s="43" t="n">
        <v>2000</v>
      </c>
      <c r="F402" s="43" t="n">
        <f>ROUND(D402*E402,0)</f>
        <v>48000</v>
      </c>
      <c r="G402" s="43" t="n">
        <v>34560</v>
      </c>
      <c r="H402" s="43" t="n">
        <f>F402-G402</f>
        <v>13440</v>
      </c>
      <c r="I402" s="41" t="str">
        <v>架空サンプル</v>
      </c>
    </row>
    <row r="403" ht="25" customHeight="1">
      <c r="A403" s="42" t="d">
        <v>2026-05-25T00:00:00.000Z</v>
      </c>
      <c r="B403" s="41" t="str">
        <v>農家</v>
      </c>
      <c r="C403" s="41" t="str">
        <v>野菜5kg箱</v>
      </c>
      <c r="D403" s="43" t="n">
        <v>29</v>
      </c>
      <c r="E403" s="43" t="n">
        <v>2000</v>
      </c>
      <c r="F403" s="43" t="n">
        <f>ROUND(D403*E403,0)</f>
        <v>58000</v>
      </c>
      <c r="G403" s="43" t="n">
        <v>41760</v>
      </c>
      <c r="H403" s="43" t="n">
        <f>F403-G403</f>
        <v>16240</v>
      </c>
      <c r="I403" s="41" t="str">
        <v>架空サンプル</v>
      </c>
    </row>
    <row r="404" ht="25" customHeight="1">
      <c r="A404" s="42" t="d">
        <v>2026-05-05T00:00:00.000Z</v>
      </c>
      <c r="B404" s="41" t="str">
        <v>農家</v>
      </c>
      <c r="C404" s="41" t="str">
        <v>トマト箱</v>
      </c>
      <c r="D404" s="43" t="n">
        <v>22</v>
      </c>
      <c r="E404" s="43" t="n">
        <v>1800</v>
      </c>
      <c r="F404" s="43" t="n">
        <f>ROUND(D404*E404,0)</f>
        <v>39600</v>
      </c>
      <c r="G404" s="43" t="n">
        <v>19008</v>
      </c>
      <c r="H404" s="43" t="n">
        <f>F404-G404</f>
        <v>20592</v>
      </c>
      <c r="I404" s="41" t="str">
        <v>架空サンプル</v>
      </c>
    </row>
    <row r="405" ht="25" customHeight="1">
      <c r="A405" s="42" t="d">
        <v>2026-05-15T00:00:00.000Z</v>
      </c>
      <c r="B405" s="41" t="str">
        <v>農家</v>
      </c>
      <c r="C405" s="41" t="str">
        <v>トマト箱</v>
      </c>
      <c r="D405" s="43" t="n">
        <v>27</v>
      </c>
      <c r="E405" s="43" t="n">
        <v>1800</v>
      </c>
      <c r="F405" s="43" t="n">
        <f>ROUND(D405*E405,0)</f>
        <v>48600</v>
      </c>
      <c r="G405" s="43" t="n">
        <v>23328</v>
      </c>
      <c r="H405" s="43" t="n">
        <f>F405-G405</f>
        <v>25272</v>
      </c>
      <c r="I405" s="41" t="str">
        <v>架空サンプル</v>
      </c>
    </row>
    <row r="406" ht="25" customHeight="1">
      <c r="A406" s="42" t="d">
        <v>2026-05-25T00:00:00.000Z</v>
      </c>
      <c r="B406" s="41" t="str">
        <v>農家</v>
      </c>
      <c r="C406" s="41" t="str">
        <v>トマト箱</v>
      </c>
      <c r="D406" s="43" t="n">
        <v>32</v>
      </c>
      <c r="E406" s="43" t="n">
        <v>1800</v>
      </c>
      <c r="F406" s="43" t="n">
        <f>ROUND(D406*E406,0)</f>
        <v>57600</v>
      </c>
      <c r="G406" s="43" t="n">
        <v>27648</v>
      </c>
      <c r="H406" s="43" t="n">
        <f>F406-G406</f>
        <v>29952</v>
      </c>
      <c r="I406" s="41" t="str">
        <v>架空サンプル</v>
      </c>
    </row>
    <row r="407" ht="25" customHeight="1">
      <c r="A407" s="42" t="d">
        <v>2026-05-05T00:00:00.000Z</v>
      </c>
      <c r="B407" s="41" t="str">
        <v>農家</v>
      </c>
      <c r="C407" s="41" t="str">
        <v>米5kg</v>
      </c>
      <c r="D407" s="43" t="n">
        <v>25</v>
      </c>
      <c r="E407" s="43" t="n">
        <v>3200</v>
      </c>
      <c r="F407" s="43" t="n">
        <f>ROUND(D407*E407,0)</f>
        <v>80000</v>
      </c>
      <c r="G407" s="43" t="n">
        <v>43200</v>
      </c>
      <c r="H407" s="43" t="n">
        <f>F407-G407</f>
        <v>36800</v>
      </c>
      <c r="I407" s="41" t="str">
        <v>架空サンプル</v>
      </c>
    </row>
    <row r="408" ht="25" customHeight="1">
      <c r="A408" s="42" t="d">
        <v>2026-05-15T00:00:00.000Z</v>
      </c>
      <c r="B408" s="41" t="str">
        <v>農家</v>
      </c>
      <c r="C408" s="41" t="str">
        <v>米5kg</v>
      </c>
      <c r="D408" s="43" t="n">
        <v>30</v>
      </c>
      <c r="E408" s="43" t="n">
        <v>3200</v>
      </c>
      <c r="F408" s="43" t="n">
        <f>ROUND(D408*E408,0)</f>
        <v>96000</v>
      </c>
      <c r="G408" s="43" t="n">
        <v>51840</v>
      </c>
      <c r="H408" s="43" t="n">
        <f>F408-G408</f>
        <v>44160</v>
      </c>
      <c r="I408" s="41" t="str">
        <v>架空サンプル</v>
      </c>
    </row>
    <row r="409" ht="25" customHeight="1">
      <c r="A409" s="42" t="d">
        <v>2026-05-25T00:00:00.000Z</v>
      </c>
      <c r="B409" s="41" t="str">
        <v>農家</v>
      </c>
      <c r="C409" s="41" t="str">
        <v>米5kg</v>
      </c>
      <c r="D409" s="43" t="n">
        <v>35</v>
      </c>
      <c r="E409" s="43" t="n">
        <v>3200</v>
      </c>
      <c r="F409" s="43" t="n">
        <f>ROUND(D409*E409,0)</f>
        <v>112000</v>
      </c>
      <c r="G409" s="43" t="n">
        <v>60480</v>
      </c>
      <c r="H409" s="43" t="n">
        <f>F409-G409</f>
        <v>51520</v>
      </c>
      <c r="I409" s="41" t="str">
        <v>架空サンプル</v>
      </c>
    </row>
    <row r="410" ht="25" customHeight="1">
      <c r="A410" s="42" t="d">
        <v>2026-05-05T00:00:00.000Z</v>
      </c>
      <c r="B410" s="41" t="str">
        <v>農家</v>
      </c>
      <c r="C410" s="41" t="str">
        <v>季節の果物</v>
      </c>
      <c r="D410" s="43" t="n">
        <v>28</v>
      </c>
      <c r="E410" s="43" t="n">
        <v>4000</v>
      </c>
      <c r="F410" s="43" t="n">
        <f>ROUND(D410*E410,0)</f>
        <v>112000</v>
      </c>
      <c r="G410" s="43" t="n">
        <v>67200</v>
      </c>
      <c r="H410" s="43" t="n">
        <f>F410-G410</f>
        <v>44800</v>
      </c>
      <c r="I410" s="41" t="str">
        <v>架空サンプル</v>
      </c>
    </row>
    <row r="411" ht="25" customHeight="1">
      <c r="A411" s="42" t="d">
        <v>2026-05-15T00:00:00.000Z</v>
      </c>
      <c r="B411" s="41" t="str">
        <v>農家</v>
      </c>
      <c r="C411" s="41" t="str">
        <v>季節の果物</v>
      </c>
      <c r="D411" s="43" t="n">
        <v>33</v>
      </c>
      <c r="E411" s="43" t="n">
        <v>4000</v>
      </c>
      <c r="F411" s="43" t="n">
        <f>ROUND(D411*E411,0)</f>
        <v>132000</v>
      </c>
      <c r="G411" s="43" t="n">
        <v>79200</v>
      </c>
      <c r="H411" s="43" t="n">
        <f>F411-G411</f>
        <v>52800</v>
      </c>
      <c r="I411" s="41" t="str">
        <v>架空サンプル</v>
      </c>
    </row>
    <row r="412" ht="25" customHeight="1">
      <c r="A412" s="42" t="d">
        <v>2026-05-25T00:00:00.000Z</v>
      </c>
      <c r="B412" s="41" t="str">
        <v>農家</v>
      </c>
      <c r="C412" s="41" t="str">
        <v>季節の果物</v>
      </c>
      <c r="D412" s="43" t="n">
        <v>21</v>
      </c>
      <c r="E412" s="43" t="n">
        <v>4000</v>
      </c>
      <c r="F412" s="43" t="n">
        <f>ROUND(D412*E412,0)</f>
        <v>84000</v>
      </c>
      <c r="G412" s="43" t="n">
        <v>50400</v>
      </c>
      <c r="H412" s="43" t="n">
        <f>F412-G412</f>
        <v>33600</v>
      </c>
      <c r="I412" s="41" t="str">
        <v>架空サンプル</v>
      </c>
    </row>
    <row r="413" ht="25" customHeight="1">
      <c r="A413" s="42" t="d">
        <v>2026-06-05T00:00:00.000Z</v>
      </c>
      <c r="B413" s="41" t="str">
        <v>木工所</v>
      </c>
      <c r="C413" s="41" t="str">
        <v>テーブル</v>
      </c>
      <c r="D413" s="43" t="n">
        <v>13</v>
      </c>
      <c r="E413" s="43" t="n">
        <v>50000</v>
      </c>
      <c r="F413" s="43" t="n">
        <f>ROUND(D413*E413,0)</f>
        <v>650000</v>
      </c>
      <c r="G413" s="43" t="n">
        <v>351000</v>
      </c>
      <c r="H413" s="43" t="n">
        <f>F413-G413</f>
        <v>299000</v>
      </c>
      <c r="I413" s="41" t="str">
        <v>架空サンプル</v>
      </c>
    </row>
    <row r="414" ht="25" customHeight="1">
      <c r="A414" s="42" t="d">
        <v>2026-06-15T00:00:00.000Z</v>
      </c>
      <c r="B414" s="41" t="str">
        <v>木工所</v>
      </c>
      <c r="C414" s="41" t="str">
        <v>テーブル</v>
      </c>
      <c r="D414" s="43" t="n">
        <v>18</v>
      </c>
      <c r="E414" s="43" t="n">
        <v>50000</v>
      </c>
      <c r="F414" s="43" t="n">
        <f>ROUND(D414*E414,0)</f>
        <v>900000</v>
      </c>
      <c r="G414" s="43" t="n">
        <v>486000</v>
      </c>
      <c r="H414" s="43" t="n">
        <f>F414-G414</f>
        <v>414000</v>
      </c>
      <c r="I414" s="41" t="str">
        <v>架空サンプル</v>
      </c>
    </row>
    <row r="415" ht="25" customHeight="1">
      <c r="A415" s="42" t="d">
        <v>2026-06-25T00:00:00.000Z</v>
      </c>
      <c r="B415" s="41" t="str">
        <v>木工所</v>
      </c>
      <c r="C415" s="41" t="str">
        <v>テーブル</v>
      </c>
      <c r="D415" s="43" t="n">
        <v>6</v>
      </c>
      <c r="E415" s="43" t="n">
        <v>50000</v>
      </c>
      <c r="F415" s="43" t="n">
        <f>ROUND(D415*E415,0)</f>
        <v>300000</v>
      </c>
      <c r="G415" s="43" t="n">
        <v>162000</v>
      </c>
      <c r="H415" s="43" t="n">
        <f>F415-G415</f>
        <v>138000</v>
      </c>
      <c r="I415" s="41" t="str">
        <v>架空サンプル</v>
      </c>
    </row>
    <row r="416" ht="25" customHeight="1">
      <c r="A416" s="42" t="d">
        <v>2026-06-05T00:00:00.000Z</v>
      </c>
      <c r="B416" s="41" t="str">
        <v>木工所</v>
      </c>
      <c r="C416" s="41" t="str">
        <v>椅子</v>
      </c>
      <c r="D416" s="43" t="n">
        <v>16</v>
      </c>
      <c r="E416" s="43" t="n">
        <v>15000</v>
      </c>
      <c r="F416" s="43" t="n">
        <f>ROUND(D416*E416,0)</f>
        <v>240000</v>
      </c>
      <c r="G416" s="43" t="n">
        <v>144000</v>
      </c>
      <c r="H416" s="43" t="n">
        <f>F416-G416</f>
        <v>96000</v>
      </c>
      <c r="I416" s="41" t="str">
        <v>架空サンプル</v>
      </c>
    </row>
    <row r="417" ht="25" customHeight="1">
      <c r="A417" s="42" t="d">
        <v>2026-06-15T00:00:00.000Z</v>
      </c>
      <c r="B417" s="41" t="str">
        <v>木工所</v>
      </c>
      <c r="C417" s="41" t="str">
        <v>椅子</v>
      </c>
      <c r="D417" s="43" t="n">
        <v>4</v>
      </c>
      <c r="E417" s="43" t="n">
        <v>15000</v>
      </c>
      <c r="F417" s="43" t="n">
        <f>ROUND(D417*E417,0)</f>
        <v>60000</v>
      </c>
      <c r="G417" s="43" t="n">
        <v>36000</v>
      </c>
      <c r="H417" s="43" t="n">
        <f>F417-G417</f>
        <v>24000</v>
      </c>
      <c r="I417" s="41" t="str">
        <v>架空サンプル</v>
      </c>
    </row>
    <row r="418" ht="25" customHeight="1">
      <c r="A418" s="42" t="d">
        <v>2026-06-25T00:00:00.000Z</v>
      </c>
      <c r="B418" s="41" t="str">
        <v>木工所</v>
      </c>
      <c r="C418" s="41" t="str">
        <v>椅子</v>
      </c>
      <c r="D418" s="43" t="n">
        <v>9</v>
      </c>
      <c r="E418" s="43" t="n">
        <v>15000</v>
      </c>
      <c r="F418" s="43" t="n">
        <f>ROUND(D418*E418,0)</f>
        <v>135000</v>
      </c>
      <c r="G418" s="43" t="n">
        <v>81000</v>
      </c>
      <c r="H418" s="43" t="n">
        <f>F418-G418</f>
        <v>54000</v>
      </c>
      <c r="I418" s="41" t="str">
        <v>架空サンプル</v>
      </c>
    </row>
    <row r="419" ht="25" customHeight="1">
      <c r="A419" s="42" t="d">
        <v>2026-06-05T00:00:00.000Z</v>
      </c>
      <c r="B419" s="41" t="str">
        <v>木工所</v>
      </c>
      <c r="C419" s="41" t="str">
        <v>収納棚</v>
      </c>
      <c r="D419" s="43" t="n">
        <v>2</v>
      </c>
      <c r="E419" s="43" t="n">
        <v>35000</v>
      </c>
      <c r="F419" s="43" t="n">
        <f>ROUND(D419*E419,0)</f>
        <v>70000</v>
      </c>
      <c r="G419" s="43" t="n">
        <v>46200</v>
      </c>
      <c r="H419" s="43" t="n">
        <f>F419-G419</f>
        <v>23800</v>
      </c>
      <c r="I419" s="41" t="str">
        <v>架空サンプル</v>
      </c>
    </row>
    <row r="420" ht="25" customHeight="1">
      <c r="A420" s="42" t="d">
        <v>2026-06-15T00:00:00.000Z</v>
      </c>
      <c r="B420" s="41" t="str">
        <v>木工所</v>
      </c>
      <c r="C420" s="41" t="str">
        <v>収納棚</v>
      </c>
      <c r="D420" s="43" t="n">
        <v>7</v>
      </c>
      <c r="E420" s="43" t="n">
        <v>35000</v>
      </c>
      <c r="F420" s="43" t="n">
        <f>ROUND(D420*E420,0)</f>
        <v>245000</v>
      </c>
      <c r="G420" s="43" t="n">
        <v>161700</v>
      </c>
      <c r="H420" s="43" t="n">
        <f>F420-G420</f>
        <v>83300</v>
      </c>
      <c r="I420" s="41" t="str">
        <v>架空サンプル</v>
      </c>
    </row>
    <row r="421" ht="25" customHeight="1">
      <c r="A421" s="42" t="d">
        <v>2026-06-25T00:00:00.000Z</v>
      </c>
      <c r="B421" s="41" t="str">
        <v>木工所</v>
      </c>
      <c r="C421" s="41" t="str">
        <v>収納棚</v>
      </c>
      <c r="D421" s="43" t="n">
        <v>12</v>
      </c>
      <c r="E421" s="43" t="n">
        <v>35000</v>
      </c>
      <c r="F421" s="43" t="n">
        <f>ROUND(D421*E421,0)</f>
        <v>420000</v>
      </c>
      <c r="G421" s="43" t="n">
        <v>277200</v>
      </c>
      <c r="H421" s="43" t="n">
        <f>F421-G421</f>
        <v>142800</v>
      </c>
      <c r="I421" s="41" t="str">
        <v>架空サンプル</v>
      </c>
    </row>
    <row r="422" ht="25" customHeight="1">
      <c r="A422" s="42" t="d">
        <v>2026-06-05T00:00:00.000Z</v>
      </c>
      <c r="B422" s="41" t="str">
        <v>木工所</v>
      </c>
      <c r="C422" s="41" t="str">
        <v>木製小物</v>
      </c>
      <c r="D422" s="43" t="n">
        <v>5</v>
      </c>
      <c r="E422" s="43" t="n">
        <v>2500</v>
      </c>
      <c r="F422" s="43" t="n">
        <f>ROUND(D422*E422,0)</f>
        <v>12500</v>
      </c>
      <c r="G422" s="43" t="n">
        <v>9000</v>
      </c>
      <c r="H422" s="43" t="n">
        <f>F422-G422</f>
        <v>3500</v>
      </c>
      <c r="I422" s="41" t="str">
        <v>架空サンプル</v>
      </c>
    </row>
    <row r="423" ht="25" customHeight="1">
      <c r="A423" s="42" t="d">
        <v>2026-06-15T00:00:00.000Z</v>
      </c>
      <c r="B423" s="41" t="str">
        <v>木工所</v>
      </c>
      <c r="C423" s="41" t="str">
        <v>木製小物</v>
      </c>
      <c r="D423" s="43" t="n">
        <v>10</v>
      </c>
      <c r="E423" s="43" t="n">
        <v>2500</v>
      </c>
      <c r="F423" s="43" t="n">
        <f>ROUND(D423*E423,0)</f>
        <v>25000</v>
      </c>
      <c r="G423" s="43" t="n">
        <v>18000</v>
      </c>
      <c r="H423" s="43" t="n">
        <f>F423-G423</f>
        <v>7000</v>
      </c>
      <c r="I423" s="41" t="str">
        <v>架空サンプル</v>
      </c>
    </row>
    <row r="424" ht="25" customHeight="1">
      <c r="A424" s="42" t="d">
        <v>2026-06-25T00:00:00.000Z</v>
      </c>
      <c r="B424" s="41" t="str">
        <v>木工所</v>
      </c>
      <c r="C424" s="41" t="str">
        <v>木製小物</v>
      </c>
      <c r="D424" s="43" t="n">
        <v>15</v>
      </c>
      <c r="E424" s="43" t="n">
        <v>2500</v>
      </c>
      <c r="F424" s="43" t="n">
        <f>ROUND(D424*E424,0)</f>
        <v>37500</v>
      </c>
      <c r="G424" s="43" t="n">
        <v>27000</v>
      </c>
      <c r="H424" s="43" t="n">
        <f>F424-G424</f>
        <v>10500</v>
      </c>
      <c r="I424" s="41" t="str">
        <v>架空サンプル</v>
      </c>
    </row>
    <row r="425" ht="25" customHeight="1">
      <c r="A425" s="42" t="d">
        <v>2026-06-05T00:00:00.000Z</v>
      </c>
      <c r="B425" s="41" t="str">
        <v>農家</v>
      </c>
      <c r="C425" s="41" t="str">
        <v>野菜5kg箱</v>
      </c>
      <c r="D425" s="43" t="n">
        <v>26</v>
      </c>
      <c r="E425" s="43" t="n">
        <v>2000</v>
      </c>
      <c r="F425" s="43" t="n">
        <f>ROUND(D425*E425,0)</f>
        <v>52000</v>
      </c>
      <c r="G425" s="43" t="n">
        <v>24960</v>
      </c>
      <c r="H425" s="43" t="n">
        <f>F425-G425</f>
        <v>27040</v>
      </c>
      <c r="I425" s="41" t="str">
        <v>架空サンプル</v>
      </c>
    </row>
    <row r="426" ht="25" customHeight="1">
      <c r="A426" s="42" t="d">
        <v>2026-06-15T00:00:00.000Z</v>
      </c>
      <c r="B426" s="41" t="str">
        <v>農家</v>
      </c>
      <c r="C426" s="41" t="str">
        <v>野菜5kg箱</v>
      </c>
      <c r="D426" s="43" t="n">
        <v>31</v>
      </c>
      <c r="E426" s="43" t="n">
        <v>2000</v>
      </c>
      <c r="F426" s="43" t="n">
        <f>ROUND(D426*E426,0)</f>
        <v>62000</v>
      </c>
      <c r="G426" s="43" t="n">
        <v>29760</v>
      </c>
      <c r="H426" s="43" t="n">
        <f>F426-G426</f>
        <v>32240</v>
      </c>
      <c r="I426" s="41" t="str">
        <v>架空サンプル</v>
      </c>
    </row>
    <row r="427" ht="25" customHeight="1">
      <c r="A427" s="42" t="d">
        <v>2026-06-25T00:00:00.000Z</v>
      </c>
      <c r="B427" s="41" t="str">
        <v>農家</v>
      </c>
      <c r="C427" s="41" t="str">
        <v>野菜5kg箱</v>
      </c>
      <c r="D427" s="43" t="n">
        <v>36</v>
      </c>
      <c r="E427" s="43" t="n">
        <v>2000</v>
      </c>
      <c r="F427" s="43" t="n">
        <f>ROUND(D427*E427,0)</f>
        <v>72000</v>
      </c>
      <c r="G427" s="43" t="n">
        <v>34560</v>
      </c>
      <c r="H427" s="43" t="n">
        <f>F427-G427</f>
        <v>37440</v>
      </c>
      <c r="I427" s="41" t="str">
        <v>架空サンプル</v>
      </c>
    </row>
    <row r="428" ht="25" customHeight="1">
      <c r="A428" s="42" t="d">
        <v>2026-06-05T00:00:00.000Z</v>
      </c>
      <c r="B428" s="41" t="str">
        <v>農家</v>
      </c>
      <c r="C428" s="41" t="str">
        <v>トマト箱</v>
      </c>
      <c r="D428" s="43" t="n">
        <v>29</v>
      </c>
      <c r="E428" s="43" t="n">
        <v>1800</v>
      </c>
      <c r="F428" s="43" t="n">
        <f>ROUND(D428*E428,0)</f>
        <v>52200</v>
      </c>
      <c r="G428" s="43" t="n">
        <v>28188</v>
      </c>
      <c r="H428" s="43" t="n">
        <f>F428-G428</f>
        <v>24012</v>
      </c>
      <c r="I428" s="41" t="str">
        <v>架空サンプル</v>
      </c>
    </row>
    <row r="429" ht="25" customHeight="1">
      <c r="A429" s="42" t="d">
        <v>2026-06-15T00:00:00.000Z</v>
      </c>
      <c r="B429" s="41" t="str">
        <v>農家</v>
      </c>
      <c r="C429" s="41" t="str">
        <v>トマト箱</v>
      </c>
      <c r="D429" s="43" t="n">
        <v>34</v>
      </c>
      <c r="E429" s="43" t="n">
        <v>1800</v>
      </c>
      <c r="F429" s="43" t="n">
        <f>ROUND(D429*E429,0)</f>
        <v>61200</v>
      </c>
      <c r="G429" s="43" t="n">
        <v>33048</v>
      </c>
      <c r="H429" s="43" t="n">
        <f>F429-G429</f>
        <v>28152</v>
      </c>
      <c r="I429" s="41" t="str">
        <v>架空サンプル</v>
      </c>
    </row>
    <row r="430" ht="25" customHeight="1">
      <c r="A430" s="42" t="d">
        <v>2026-06-25T00:00:00.000Z</v>
      </c>
      <c r="B430" s="41" t="str">
        <v>農家</v>
      </c>
      <c r="C430" s="41" t="str">
        <v>トマト箱</v>
      </c>
      <c r="D430" s="43" t="n">
        <v>22</v>
      </c>
      <c r="E430" s="43" t="n">
        <v>1800</v>
      </c>
      <c r="F430" s="43" t="n">
        <f>ROUND(D430*E430,0)</f>
        <v>39600</v>
      </c>
      <c r="G430" s="43" t="n">
        <v>21384</v>
      </c>
      <c r="H430" s="43" t="n">
        <f>F430-G430</f>
        <v>18216</v>
      </c>
      <c r="I430" s="41" t="str">
        <v>架空サンプル</v>
      </c>
    </row>
    <row r="431" ht="25" customHeight="1">
      <c r="A431" s="42" t="d">
        <v>2026-06-05T00:00:00.000Z</v>
      </c>
      <c r="B431" s="41" t="str">
        <v>農家</v>
      </c>
      <c r="C431" s="41" t="str">
        <v>米5kg</v>
      </c>
      <c r="D431" s="43" t="n">
        <v>32</v>
      </c>
      <c r="E431" s="43" t="n">
        <v>3200</v>
      </c>
      <c r="F431" s="43" t="n">
        <f>ROUND(D431*E431,0)</f>
        <v>102400</v>
      </c>
      <c r="G431" s="43" t="n">
        <v>61440</v>
      </c>
      <c r="H431" s="43" t="n">
        <f>F431-G431</f>
        <v>40960</v>
      </c>
      <c r="I431" s="41" t="str">
        <v>架空サンプル</v>
      </c>
    </row>
    <row r="432" ht="25" customHeight="1">
      <c r="A432" s="42" t="d">
        <v>2026-06-15T00:00:00.000Z</v>
      </c>
      <c r="B432" s="41" t="str">
        <v>農家</v>
      </c>
      <c r="C432" s="41" t="str">
        <v>米5kg</v>
      </c>
      <c r="D432" s="43" t="n">
        <v>20</v>
      </c>
      <c r="E432" s="43" t="n">
        <v>3200</v>
      </c>
      <c r="F432" s="43" t="n">
        <f>ROUND(D432*E432,0)</f>
        <v>64000</v>
      </c>
      <c r="G432" s="43" t="n">
        <v>38400</v>
      </c>
      <c r="H432" s="43" t="n">
        <f>F432-G432</f>
        <v>25600</v>
      </c>
      <c r="I432" s="41" t="str">
        <v>架空サンプル</v>
      </c>
    </row>
    <row r="433" ht="25" customHeight="1">
      <c r="A433" s="42" t="d">
        <v>2026-06-25T00:00:00.000Z</v>
      </c>
      <c r="B433" s="41" t="str">
        <v>農家</v>
      </c>
      <c r="C433" s="41" t="str">
        <v>米5kg</v>
      </c>
      <c r="D433" s="43" t="n">
        <v>25</v>
      </c>
      <c r="E433" s="43" t="n">
        <v>3200</v>
      </c>
      <c r="F433" s="43" t="n">
        <f>ROUND(D433*E433,0)</f>
        <v>80000</v>
      </c>
      <c r="G433" s="43" t="n">
        <v>48000</v>
      </c>
      <c r="H433" s="43" t="n">
        <f>F433-G433</f>
        <v>32000</v>
      </c>
      <c r="I433" s="41" t="str">
        <v>架空サンプル</v>
      </c>
    </row>
    <row r="434" ht="25" customHeight="1">
      <c r="A434" s="42" t="d">
        <v>2026-06-05T00:00:00.000Z</v>
      </c>
      <c r="B434" s="41" t="str">
        <v>農家</v>
      </c>
      <c r="C434" s="41" t="str">
        <v>季節の果物</v>
      </c>
      <c r="D434" s="43" t="n">
        <v>35</v>
      </c>
      <c r="E434" s="43" t="n">
        <v>4000</v>
      </c>
      <c r="F434" s="43" t="n">
        <f>ROUND(D434*E434,0)</f>
        <v>140000</v>
      </c>
      <c r="G434" s="43" t="n">
        <v>92400</v>
      </c>
      <c r="H434" s="43" t="n">
        <f>F434-G434</f>
        <v>47600</v>
      </c>
      <c r="I434" s="41" t="str">
        <v>架空サンプル</v>
      </c>
    </row>
    <row r="435" ht="25" customHeight="1">
      <c r="A435" s="42" t="d">
        <v>2026-06-15T00:00:00.000Z</v>
      </c>
      <c r="B435" s="41" t="str">
        <v>農家</v>
      </c>
      <c r="C435" s="41" t="str">
        <v>季節の果物</v>
      </c>
      <c r="D435" s="43" t="n">
        <v>23</v>
      </c>
      <c r="E435" s="43" t="n">
        <v>4000</v>
      </c>
      <c r="F435" s="43" t="n">
        <f>ROUND(D435*E435,0)</f>
        <v>92000</v>
      </c>
      <c r="G435" s="43" t="n">
        <v>60720</v>
      </c>
      <c r="H435" s="43" t="n">
        <f>F435-G435</f>
        <v>31280</v>
      </c>
      <c r="I435" s="41" t="str">
        <v>架空サンプル</v>
      </c>
    </row>
    <row r="436" ht="25" customHeight="1">
      <c r="A436" s="42" t="d">
        <v>2026-06-25T00:00:00.000Z</v>
      </c>
      <c r="B436" s="41" t="str">
        <v>農家</v>
      </c>
      <c r="C436" s="41" t="str">
        <v>季節の果物</v>
      </c>
      <c r="D436" s="43" t="n">
        <v>28</v>
      </c>
      <c r="E436" s="43" t="n">
        <v>4000</v>
      </c>
      <c r="F436" s="43" t="n">
        <f>ROUND(D436*E436,0)</f>
        <v>112000</v>
      </c>
      <c r="G436" s="43" t="n">
        <v>73920</v>
      </c>
      <c r="H436" s="43" t="n">
        <f>F436-G436</f>
        <v>38080</v>
      </c>
      <c r="I436" s="41" t="str">
        <v>架空サンプル</v>
      </c>
    </row>
    <row r="437" ht="25" customHeight="1">
      <c r="A437" s="42" t="d">
        <v>2026-07-05T00:00:00.000Z</v>
      </c>
      <c r="B437" s="41" t="str">
        <v>木工所</v>
      </c>
      <c r="C437" s="41" t="str">
        <v>テーブル</v>
      </c>
      <c r="D437" s="43" t="n">
        <v>3</v>
      </c>
      <c r="E437" s="43" t="n">
        <v>50000</v>
      </c>
      <c r="F437" s="43" t="n">
        <f>ROUND(D437*E437,0)</f>
        <v>150000</v>
      </c>
      <c r="G437" s="43" t="n">
        <v>90000</v>
      </c>
      <c r="H437" s="43" t="n">
        <f>F437-G437</f>
        <v>60000</v>
      </c>
      <c r="I437" s="41" t="str">
        <v>架空サンプル</v>
      </c>
    </row>
    <row r="438" ht="25" customHeight="1">
      <c r="A438" s="42" t="d">
        <v>2026-07-15T00:00:00.000Z</v>
      </c>
      <c r="B438" s="41" t="str">
        <v>木工所</v>
      </c>
      <c r="C438" s="41" t="str">
        <v>テーブル</v>
      </c>
      <c r="D438" s="43" t="n">
        <v>8</v>
      </c>
      <c r="E438" s="43" t="n">
        <v>50000</v>
      </c>
      <c r="F438" s="43" t="n">
        <f>ROUND(D438*E438,0)</f>
        <v>400000</v>
      </c>
      <c r="G438" s="43" t="n">
        <v>240000</v>
      </c>
      <c r="H438" s="43" t="n">
        <f>F438-G438</f>
        <v>160000</v>
      </c>
      <c r="I438" s="41" t="str">
        <v>架空サンプル</v>
      </c>
    </row>
    <row r="439" ht="25" customHeight="1">
      <c r="A439" s="42" t="d">
        <v>2026-07-25T00:00:00.000Z</v>
      </c>
      <c r="B439" s="41" t="str">
        <v>木工所</v>
      </c>
      <c r="C439" s="41" t="str">
        <v>テーブル</v>
      </c>
      <c r="D439" s="43" t="n">
        <v>13</v>
      </c>
      <c r="E439" s="43" t="n">
        <v>50000</v>
      </c>
      <c r="F439" s="43" t="n">
        <f>ROUND(D439*E439,0)</f>
        <v>650000</v>
      </c>
      <c r="G439" s="43" t="n">
        <v>390000</v>
      </c>
      <c r="H439" s="43" t="n">
        <f>F439-G439</f>
        <v>260000</v>
      </c>
      <c r="I439" s="41" t="str">
        <v>架空サンプル</v>
      </c>
    </row>
    <row r="440" ht="25" customHeight="1">
      <c r="A440" s="42" t="d">
        <v>2026-07-05T00:00:00.000Z</v>
      </c>
      <c r="B440" s="41" t="str">
        <v>木工所</v>
      </c>
      <c r="C440" s="41" t="str">
        <v>椅子</v>
      </c>
      <c r="D440" s="43" t="n">
        <v>6</v>
      </c>
      <c r="E440" s="43" t="n">
        <v>15000</v>
      </c>
      <c r="F440" s="43" t="n">
        <f>ROUND(D440*E440,0)</f>
        <v>90000</v>
      </c>
      <c r="G440" s="43" t="n">
        <v>59400</v>
      </c>
      <c r="H440" s="43" t="n">
        <f>F440-G440</f>
        <v>30600</v>
      </c>
      <c r="I440" s="41" t="str">
        <v>架空サンプル</v>
      </c>
    </row>
    <row r="441" ht="25" customHeight="1">
      <c r="A441" s="42" t="d">
        <v>2026-07-15T00:00:00.000Z</v>
      </c>
      <c r="B441" s="41" t="str">
        <v>木工所</v>
      </c>
      <c r="C441" s="41" t="str">
        <v>椅子</v>
      </c>
      <c r="D441" s="43" t="n">
        <v>11</v>
      </c>
      <c r="E441" s="43" t="n">
        <v>15000</v>
      </c>
      <c r="F441" s="43" t="n">
        <f>ROUND(D441*E441,0)</f>
        <v>165000</v>
      </c>
      <c r="G441" s="43" t="n">
        <v>108900</v>
      </c>
      <c r="H441" s="43" t="n">
        <f>F441-G441</f>
        <v>56100</v>
      </c>
      <c r="I441" s="41" t="str">
        <v>架空サンプル</v>
      </c>
    </row>
    <row r="442" ht="25" customHeight="1">
      <c r="A442" s="42" t="d">
        <v>2026-07-25T00:00:00.000Z</v>
      </c>
      <c r="B442" s="41" t="str">
        <v>木工所</v>
      </c>
      <c r="C442" s="41" t="str">
        <v>椅子</v>
      </c>
      <c r="D442" s="43" t="n">
        <v>16</v>
      </c>
      <c r="E442" s="43" t="n">
        <v>15000</v>
      </c>
      <c r="F442" s="43" t="n">
        <f>ROUND(D442*E442,0)</f>
        <v>240000</v>
      </c>
      <c r="G442" s="43" t="n">
        <v>158400</v>
      </c>
      <c r="H442" s="43" t="n">
        <f>F442-G442</f>
        <v>81600</v>
      </c>
      <c r="I442" s="41" t="str">
        <v>架空サンプル</v>
      </c>
    </row>
    <row r="443" ht="25" customHeight="1">
      <c r="A443" s="42" t="d">
        <v>2026-07-05T00:00:00.000Z</v>
      </c>
      <c r="B443" s="41" t="str">
        <v>木工所</v>
      </c>
      <c r="C443" s="41" t="str">
        <v>収納棚</v>
      </c>
      <c r="D443" s="43" t="n">
        <v>9</v>
      </c>
      <c r="E443" s="43" t="n">
        <v>35000</v>
      </c>
      <c r="F443" s="43" t="n">
        <f>ROUND(D443*E443,0)</f>
        <v>315000</v>
      </c>
      <c r="G443" s="43" t="n">
        <v>226800</v>
      </c>
      <c r="H443" s="43" t="n">
        <f>F443-G443</f>
        <v>88200</v>
      </c>
      <c r="I443" s="41" t="str">
        <v>架空サンプル</v>
      </c>
    </row>
    <row r="444" ht="25" customHeight="1">
      <c r="A444" s="42" t="d">
        <v>2026-07-15T00:00:00.000Z</v>
      </c>
      <c r="B444" s="41" t="str">
        <v>木工所</v>
      </c>
      <c r="C444" s="41" t="str">
        <v>収納棚</v>
      </c>
      <c r="D444" s="43" t="n">
        <v>14</v>
      </c>
      <c r="E444" s="43" t="n">
        <v>35000</v>
      </c>
      <c r="F444" s="43" t="n">
        <f>ROUND(D444*E444,0)</f>
        <v>490000</v>
      </c>
      <c r="G444" s="43" t="n">
        <v>352800</v>
      </c>
      <c r="H444" s="43" t="n">
        <f>F444-G444</f>
        <v>137200</v>
      </c>
      <c r="I444" s="41" t="str">
        <v>架空サンプル</v>
      </c>
    </row>
    <row r="445" ht="25" customHeight="1">
      <c r="A445" s="42" t="d">
        <v>2026-07-25T00:00:00.000Z</v>
      </c>
      <c r="B445" s="41" t="str">
        <v>木工所</v>
      </c>
      <c r="C445" s="41" t="str">
        <v>収納棚</v>
      </c>
      <c r="D445" s="43" t="n">
        <v>2</v>
      </c>
      <c r="E445" s="43" t="n">
        <v>35000</v>
      </c>
      <c r="F445" s="43" t="n">
        <f>ROUND(D445*E445,0)</f>
        <v>70000</v>
      </c>
      <c r="G445" s="43" t="n">
        <v>50400</v>
      </c>
      <c r="H445" s="43" t="n">
        <f>F445-G445</f>
        <v>19600</v>
      </c>
      <c r="I445" s="41" t="str">
        <v>架空サンプル</v>
      </c>
    </row>
    <row r="446" ht="25" customHeight="1">
      <c r="A446" s="42" t="d">
        <v>2026-07-05T00:00:00.000Z</v>
      </c>
      <c r="B446" s="41" t="str">
        <v>木工所</v>
      </c>
      <c r="C446" s="41" t="str">
        <v>木製小物</v>
      </c>
      <c r="D446" s="43" t="n">
        <v>12</v>
      </c>
      <c r="E446" s="43" t="n">
        <v>2500</v>
      </c>
      <c r="F446" s="43" t="n">
        <f>ROUND(D446*E446,0)</f>
        <v>30000</v>
      </c>
      <c r="G446" s="43" t="n">
        <v>14400</v>
      </c>
      <c r="H446" s="43" t="n">
        <f>F446-G446</f>
        <v>15600</v>
      </c>
      <c r="I446" s="41" t="str">
        <v>架空サンプル</v>
      </c>
    </row>
    <row r="447" ht="25" customHeight="1">
      <c r="A447" s="42" t="d">
        <v>2026-07-15T00:00:00.000Z</v>
      </c>
      <c r="B447" s="41" t="str">
        <v>木工所</v>
      </c>
      <c r="C447" s="41" t="str">
        <v>木製小物</v>
      </c>
      <c r="D447" s="43" t="n">
        <v>17</v>
      </c>
      <c r="E447" s="43" t="n">
        <v>2500</v>
      </c>
      <c r="F447" s="43" t="n">
        <f>ROUND(D447*E447,0)</f>
        <v>42500</v>
      </c>
      <c r="G447" s="43" t="n">
        <v>20400</v>
      </c>
      <c r="H447" s="43" t="n">
        <f>F447-G447</f>
        <v>22100</v>
      </c>
      <c r="I447" s="41" t="str">
        <v>架空サンプル</v>
      </c>
    </row>
    <row r="448" ht="25" customHeight="1">
      <c r="A448" s="42" t="d">
        <v>2026-07-25T00:00:00.000Z</v>
      </c>
      <c r="B448" s="41" t="str">
        <v>木工所</v>
      </c>
      <c r="C448" s="41" t="str">
        <v>木製小物</v>
      </c>
      <c r="D448" s="43" t="n">
        <v>5</v>
      </c>
      <c r="E448" s="43" t="n">
        <v>2500</v>
      </c>
      <c r="F448" s="43" t="n">
        <f>ROUND(D448*E448,0)</f>
        <v>12500</v>
      </c>
      <c r="G448" s="43" t="n">
        <v>6000</v>
      </c>
      <c r="H448" s="43" t="n">
        <f>F448-G448</f>
        <v>6500</v>
      </c>
      <c r="I448" s="41" t="str">
        <v>架空サンプル</v>
      </c>
    </row>
    <row r="449" ht="25" customHeight="1">
      <c r="A449" s="42" t="d">
        <v>2026-07-05T00:00:00.000Z</v>
      </c>
      <c r="B449" s="41" t="str">
        <v>農家</v>
      </c>
      <c r="C449" s="41" t="str">
        <v>野菜5kg箱</v>
      </c>
      <c r="D449" s="43" t="n">
        <v>33</v>
      </c>
      <c r="E449" s="43" t="n">
        <v>2000</v>
      </c>
      <c r="F449" s="43" t="n">
        <f>ROUND(D449*E449,0)</f>
        <v>66000</v>
      </c>
      <c r="G449" s="43" t="n">
        <v>35640</v>
      </c>
      <c r="H449" s="43" t="n">
        <f>F449-G449</f>
        <v>30360</v>
      </c>
      <c r="I449" s="41" t="str">
        <v>架空サンプル</v>
      </c>
    </row>
    <row r="450" ht="25" customHeight="1">
      <c r="A450" s="42" t="d">
        <v>2026-07-15T00:00:00.000Z</v>
      </c>
      <c r="B450" s="41" t="str">
        <v>農家</v>
      </c>
      <c r="C450" s="41" t="str">
        <v>野菜5kg箱</v>
      </c>
      <c r="D450" s="43" t="n">
        <v>21</v>
      </c>
      <c r="E450" s="43" t="n">
        <v>2000</v>
      </c>
      <c r="F450" s="43" t="n">
        <f>ROUND(D450*E450,0)</f>
        <v>42000</v>
      </c>
      <c r="G450" s="43" t="n">
        <v>22680</v>
      </c>
      <c r="H450" s="43" t="n">
        <f>F450-G450</f>
        <v>19320</v>
      </c>
      <c r="I450" s="41" t="str">
        <v>架空サンプル</v>
      </c>
    </row>
    <row r="451" ht="25" customHeight="1">
      <c r="A451" s="42" t="d">
        <v>2026-07-25T00:00:00.000Z</v>
      </c>
      <c r="B451" s="41" t="str">
        <v>農家</v>
      </c>
      <c r="C451" s="41" t="str">
        <v>野菜5kg箱</v>
      </c>
      <c r="D451" s="43" t="n">
        <v>26</v>
      </c>
      <c r="E451" s="43" t="n">
        <v>2000</v>
      </c>
      <c r="F451" s="43" t="n">
        <f>ROUND(D451*E451,0)</f>
        <v>52000</v>
      </c>
      <c r="G451" s="43" t="n">
        <v>28080</v>
      </c>
      <c r="H451" s="43" t="n">
        <f>F451-G451</f>
        <v>23920</v>
      </c>
      <c r="I451" s="41" t="str">
        <v>架空サンプル</v>
      </c>
    </row>
    <row r="452" ht="25" customHeight="1">
      <c r="A452" s="42" t="d">
        <v>2026-07-05T00:00:00.000Z</v>
      </c>
      <c r="B452" s="41" t="str">
        <v>農家</v>
      </c>
      <c r="C452" s="41" t="str">
        <v>トマト箱</v>
      </c>
      <c r="D452" s="43" t="n">
        <v>36</v>
      </c>
      <c r="E452" s="43" t="n">
        <v>1800</v>
      </c>
      <c r="F452" s="43" t="n">
        <f>ROUND(D452*E452,0)</f>
        <v>64800</v>
      </c>
      <c r="G452" s="43" t="n">
        <v>38880</v>
      </c>
      <c r="H452" s="43" t="n">
        <f>F452-G452</f>
        <v>25920</v>
      </c>
      <c r="I452" s="41" t="str">
        <v>架空サンプル</v>
      </c>
    </row>
    <row r="453" ht="25" customHeight="1">
      <c r="A453" s="42" t="d">
        <v>2026-07-15T00:00:00.000Z</v>
      </c>
      <c r="B453" s="41" t="str">
        <v>農家</v>
      </c>
      <c r="C453" s="41" t="str">
        <v>トマト箱</v>
      </c>
      <c r="D453" s="43" t="n">
        <v>24</v>
      </c>
      <c r="E453" s="43" t="n">
        <v>1800</v>
      </c>
      <c r="F453" s="43" t="n">
        <f>ROUND(D453*E453,0)</f>
        <v>43200</v>
      </c>
      <c r="G453" s="43" t="n">
        <v>25920</v>
      </c>
      <c r="H453" s="43" t="n">
        <f>F453-G453</f>
        <v>17280</v>
      </c>
      <c r="I453" s="41" t="str">
        <v>架空サンプル</v>
      </c>
    </row>
    <row r="454" ht="25" customHeight="1">
      <c r="A454" s="42" t="d">
        <v>2026-07-25T00:00:00.000Z</v>
      </c>
      <c r="B454" s="41" t="str">
        <v>農家</v>
      </c>
      <c r="C454" s="41" t="str">
        <v>トマト箱</v>
      </c>
      <c r="D454" s="43" t="n">
        <v>29</v>
      </c>
      <c r="E454" s="43" t="n">
        <v>1800</v>
      </c>
      <c r="F454" s="43" t="n">
        <f>ROUND(D454*E454,0)</f>
        <v>52200</v>
      </c>
      <c r="G454" s="43" t="n">
        <v>31320</v>
      </c>
      <c r="H454" s="43" t="n">
        <f>F454-G454</f>
        <v>20880</v>
      </c>
      <c r="I454" s="41" t="str">
        <v>架空サンプル</v>
      </c>
    </row>
    <row r="455" ht="25" customHeight="1">
      <c r="A455" s="42" t="d">
        <v>2026-07-05T00:00:00.000Z</v>
      </c>
      <c r="B455" s="41" t="str">
        <v>農家</v>
      </c>
      <c r="C455" s="41" t="str">
        <v>米5kg</v>
      </c>
      <c r="D455" s="43" t="n">
        <v>22</v>
      </c>
      <c r="E455" s="43" t="n">
        <v>3200</v>
      </c>
      <c r="F455" s="43" t="n">
        <f>ROUND(D455*E455,0)</f>
        <v>70400</v>
      </c>
      <c r="G455" s="43" t="n">
        <v>46464</v>
      </c>
      <c r="H455" s="43" t="n">
        <f>F455-G455</f>
        <v>23936</v>
      </c>
      <c r="I455" s="41" t="str">
        <v>架空サンプル</v>
      </c>
    </row>
    <row r="456" ht="25" customHeight="1">
      <c r="A456" s="42" t="d">
        <v>2026-07-15T00:00:00.000Z</v>
      </c>
      <c r="B456" s="41" t="str">
        <v>農家</v>
      </c>
      <c r="C456" s="41" t="str">
        <v>米5kg</v>
      </c>
      <c r="D456" s="43" t="n">
        <v>27</v>
      </c>
      <c r="E456" s="43" t="n">
        <v>3200</v>
      </c>
      <c r="F456" s="43" t="n">
        <f>ROUND(D456*E456,0)</f>
        <v>86400</v>
      </c>
      <c r="G456" s="43" t="n">
        <v>57024</v>
      </c>
      <c r="H456" s="43" t="n">
        <f>F456-G456</f>
        <v>29376</v>
      </c>
      <c r="I456" s="41" t="str">
        <v>架空サンプル</v>
      </c>
    </row>
    <row r="457" ht="25" customHeight="1">
      <c r="A457" s="42" t="d">
        <v>2026-07-25T00:00:00.000Z</v>
      </c>
      <c r="B457" s="41" t="str">
        <v>農家</v>
      </c>
      <c r="C457" s="41" t="str">
        <v>米5kg</v>
      </c>
      <c r="D457" s="43" t="n">
        <v>32</v>
      </c>
      <c r="E457" s="43" t="n">
        <v>3200</v>
      </c>
      <c r="F457" s="43" t="n">
        <f>ROUND(D457*E457,0)</f>
        <v>102400</v>
      </c>
      <c r="G457" s="43" t="n">
        <v>67584</v>
      </c>
      <c r="H457" s="43" t="n">
        <f>F457-G457</f>
        <v>34816</v>
      </c>
      <c r="I457" s="41" t="str">
        <v>架空サンプル</v>
      </c>
    </row>
    <row r="458" ht="25" customHeight="1">
      <c r="A458" s="42" t="d">
        <v>2026-07-05T00:00:00.000Z</v>
      </c>
      <c r="B458" s="41" t="str">
        <v>農家</v>
      </c>
      <c r="C458" s="41" t="str">
        <v>季節の果物</v>
      </c>
      <c r="D458" s="43" t="n">
        <v>25</v>
      </c>
      <c r="E458" s="43" t="n">
        <v>4000</v>
      </c>
      <c r="F458" s="43" t="n">
        <f>ROUND(D458*E458,0)</f>
        <v>100000</v>
      </c>
      <c r="G458" s="43" t="n">
        <v>72000</v>
      </c>
      <c r="H458" s="43" t="n">
        <f>F458-G458</f>
        <v>28000</v>
      </c>
      <c r="I458" s="41" t="str">
        <v>架空サンプル</v>
      </c>
    </row>
    <row r="459" ht="25" customHeight="1">
      <c r="A459" s="42" t="d">
        <v>2026-07-15T00:00:00.000Z</v>
      </c>
      <c r="B459" s="41" t="str">
        <v>農家</v>
      </c>
      <c r="C459" s="41" t="str">
        <v>季節の果物</v>
      </c>
      <c r="D459" s="43" t="n">
        <v>30</v>
      </c>
      <c r="E459" s="43" t="n">
        <v>4000</v>
      </c>
      <c r="F459" s="43" t="n">
        <f>ROUND(D459*E459,0)</f>
        <v>120000</v>
      </c>
      <c r="G459" s="43" t="n">
        <v>86400</v>
      </c>
      <c r="H459" s="43" t="n">
        <f>F459-G459</f>
        <v>33600</v>
      </c>
      <c r="I459" s="41" t="str">
        <v>架空サンプル</v>
      </c>
    </row>
    <row r="460" ht="25" customHeight="1">
      <c r="A460" s="42" t="d">
        <v>2026-07-25T00:00:00.000Z</v>
      </c>
      <c r="B460" s="41" t="str">
        <v>農家</v>
      </c>
      <c r="C460" s="41" t="str">
        <v>季節の果物</v>
      </c>
      <c r="D460" s="43" t="n">
        <v>35</v>
      </c>
      <c r="E460" s="43" t="n">
        <v>4000</v>
      </c>
      <c r="F460" s="43" t="n">
        <f>ROUND(D460*E460,0)</f>
        <v>140000</v>
      </c>
      <c r="G460" s="43" t="n">
        <v>100800</v>
      </c>
      <c r="H460" s="43" t="n">
        <f>F460-G460</f>
        <v>39200</v>
      </c>
      <c r="I460" s="41" t="str">
        <v>架空サンプル</v>
      </c>
    </row>
    <row r="461" ht="25" customHeight="1">
      <c r="A461" s="42" t="d">
        <v>2026-08-05T00:00:00.000Z</v>
      </c>
      <c r="B461" s="41" t="str">
        <v>木工所</v>
      </c>
      <c r="C461" s="41" t="str">
        <v>テーブル</v>
      </c>
      <c r="D461" s="43" t="n">
        <v>10</v>
      </c>
      <c r="E461" s="43" t="n">
        <v>50000</v>
      </c>
      <c r="F461" s="43" t="n">
        <f>ROUND(D461*E461,0)</f>
        <v>500000</v>
      </c>
      <c r="G461" s="43" t="n">
        <v>330000</v>
      </c>
      <c r="H461" s="43" t="n">
        <f>F461-G461</f>
        <v>170000</v>
      </c>
      <c r="I461" s="41" t="str">
        <v>架空サンプル</v>
      </c>
    </row>
    <row r="462" ht="25" customHeight="1">
      <c r="A462" s="42" t="d">
        <v>2026-08-15T00:00:00.000Z</v>
      </c>
      <c r="B462" s="41" t="str">
        <v>木工所</v>
      </c>
      <c r="C462" s="41" t="str">
        <v>テーブル</v>
      </c>
      <c r="D462" s="43" t="n">
        <v>15</v>
      </c>
      <c r="E462" s="43" t="n">
        <v>50000</v>
      </c>
      <c r="F462" s="43" t="n">
        <f>ROUND(D462*E462,0)</f>
        <v>750000</v>
      </c>
      <c r="G462" s="43" t="n">
        <v>495000</v>
      </c>
      <c r="H462" s="43" t="n">
        <f>F462-G462</f>
        <v>255000</v>
      </c>
      <c r="I462" s="41" t="str">
        <v>架空サンプル</v>
      </c>
    </row>
    <row r="463" ht="25" customHeight="1">
      <c r="A463" s="42" t="d">
        <v>2026-08-25T00:00:00.000Z</v>
      </c>
      <c r="B463" s="41" t="str">
        <v>木工所</v>
      </c>
      <c r="C463" s="41" t="str">
        <v>テーブル</v>
      </c>
      <c r="D463" s="43" t="n">
        <v>3</v>
      </c>
      <c r="E463" s="43" t="n">
        <v>50000</v>
      </c>
      <c r="F463" s="43" t="n">
        <f>ROUND(D463*E463,0)</f>
        <v>150000</v>
      </c>
      <c r="G463" s="43" t="n">
        <v>99000</v>
      </c>
      <c r="H463" s="43" t="n">
        <f>F463-G463</f>
        <v>51000</v>
      </c>
      <c r="I463" s="41" t="str">
        <v>架空サンプル</v>
      </c>
    </row>
    <row r="464" ht="25" customHeight="1">
      <c r="A464" s="42" t="d">
        <v>2026-08-05T00:00:00.000Z</v>
      </c>
      <c r="B464" s="41" t="str">
        <v>木工所</v>
      </c>
      <c r="C464" s="41" t="str">
        <v>椅子</v>
      </c>
      <c r="D464" s="43" t="n">
        <v>13</v>
      </c>
      <c r="E464" s="43" t="n">
        <v>15000</v>
      </c>
      <c r="F464" s="43" t="n">
        <f>ROUND(D464*E464,0)</f>
        <v>195000</v>
      </c>
      <c r="G464" s="43" t="n">
        <v>140400</v>
      </c>
      <c r="H464" s="43" t="n">
        <f>F464-G464</f>
        <v>54600</v>
      </c>
      <c r="I464" s="41" t="str">
        <v>架空サンプル</v>
      </c>
    </row>
    <row r="465" ht="25" customHeight="1">
      <c r="A465" s="42" t="d">
        <v>2026-08-15T00:00:00.000Z</v>
      </c>
      <c r="B465" s="41" t="str">
        <v>木工所</v>
      </c>
      <c r="C465" s="41" t="str">
        <v>椅子</v>
      </c>
      <c r="D465" s="43" t="n">
        <v>18</v>
      </c>
      <c r="E465" s="43" t="n">
        <v>15000</v>
      </c>
      <c r="F465" s="43" t="n">
        <f>ROUND(D465*E465,0)</f>
        <v>270000</v>
      </c>
      <c r="G465" s="43" t="n">
        <v>194400</v>
      </c>
      <c r="H465" s="43" t="n">
        <f>F465-G465</f>
        <v>75600</v>
      </c>
      <c r="I465" s="41" t="str">
        <v>架空サンプル</v>
      </c>
    </row>
    <row r="466" ht="25" customHeight="1">
      <c r="A466" s="42" t="d">
        <v>2026-08-25T00:00:00.000Z</v>
      </c>
      <c r="B466" s="41" t="str">
        <v>木工所</v>
      </c>
      <c r="C466" s="41" t="str">
        <v>椅子</v>
      </c>
      <c r="D466" s="43" t="n">
        <v>6</v>
      </c>
      <c r="E466" s="43" t="n">
        <v>15000</v>
      </c>
      <c r="F466" s="43" t="n">
        <f>ROUND(D466*E466,0)</f>
        <v>90000</v>
      </c>
      <c r="G466" s="43" t="n">
        <v>64800</v>
      </c>
      <c r="H466" s="43" t="n">
        <f>F466-G466</f>
        <v>25200</v>
      </c>
      <c r="I466" s="41" t="str">
        <v>架空サンプル</v>
      </c>
    </row>
    <row r="467" ht="25" customHeight="1">
      <c r="A467" s="42" t="d">
        <v>2026-08-05T00:00:00.000Z</v>
      </c>
      <c r="B467" s="41" t="str">
        <v>木工所</v>
      </c>
      <c r="C467" s="41" t="str">
        <v>収納棚</v>
      </c>
      <c r="D467" s="43" t="n">
        <v>16</v>
      </c>
      <c r="E467" s="43" t="n">
        <v>35000</v>
      </c>
      <c r="F467" s="43" t="n">
        <f>ROUND(D467*E467,0)</f>
        <v>560000</v>
      </c>
      <c r="G467" s="43" t="n">
        <v>268800</v>
      </c>
      <c r="H467" s="43" t="n">
        <f>F467-G467</f>
        <v>291200</v>
      </c>
      <c r="I467" s="41" t="str">
        <v>架空サンプル</v>
      </c>
    </row>
    <row r="468" ht="25" customHeight="1">
      <c r="A468" s="42" t="d">
        <v>2026-08-15T00:00:00.000Z</v>
      </c>
      <c r="B468" s="41" t="str">
        <v>木工所</v>
      </c>
      <c r="C468" s="41" t="str">
        <v>収納棚</v>
      </c>
      <c r="D468" s="43" t="n">
        <v>4</v>
      </c>
      <c r="E468" s="43" t="n">
        <v>35000</v>
      </c>
      <c r="F468" s="43" t="n">
        <f>ROUND(D468*E468,0)</f>
        <v>140000</v>
      </c>
      <c r="G468" s="43" t="n">
        <v>67200</v>
      </c>
      <c r="H468" s="43" t="n">
        <f>F468-G468</f>
        <v>72800</v>
      </c>
      <c r="I468" s="41" t="str">
        <v>架空サンプル</v>
      </c>
    </row>
    <row r="469" ht="25" customHeight="1">
      <c r="A469" s="42" t="d">
        <v>2026-08-25T00:00:00.000Z</v>
      </c>
      <c r="B469" s="41" t="str">
        <v>木工所</v>
      </c>
      <c r="C469" s="41" t="str">
        <v>収納棚</v>
      </c>
      <c r="D469" s="43" t="n">
        <v>9</v>
      </c>
      <c r="E469" s="43" t="n">
        <v>35000</v>
      </c>
      <c r="F469" s="43" t="n">
        <f>ROUND(D469*E469,0)</f>
        <v>315000</v>
      </c>
      <c r="G469" s="43" t="n">
        <v>151200</v>
      </c>
      <c r="H469" s="43" t="n">
        <f>F469-G469</f>
        <v>163800</v>
      </c>
      <c r="I469" s="41" t="str">
        <v>架空サンプル</v>
      </c>
    </row>
    <row r="470" ht="25" customHeight="1">
      <c r="A470" s="42" t="d">
        <v>2026-08-05T00:00:00.000Z</v>
      </c>
      <c r="B470" s="41" t="str">
        <v>木工所</v>
      </c>
      <c r="C470" s="41" t="str">
        <v>木製小物</v>
      </c>
      <c r="D470" s="43" t="n">
        <v>2</v>
      </c>
      <c r="E470" s="43" t="n">
        <v>2500</v>
      </c>
      <c r="F470" s="43" t="n">
        <f>ROUND(D470*E470,0)</f>
        <v>5000</v>
      </c>
      <c r="G470" s="43" t="n">
        <v>2700</v>
      </c>
      <c r="H470" s="43" t="n">
        <f>F470-G470</f>
        <v>2300</v>
      </c>
      <c r="I470" s="41" t="str">
        <v>架空サンプル</v>
      </c>
    </row>
    <row r="471" ht="25" customHeight="1">
      <c r="A471" s="42" t="d">
        <v>2026-08-15T00:00:00.000Z</v>
      </c>
      <c r="B471" s="41" t="str">
        <v>木工所</v>
      </c>
      <c r="C471" s="41" t="str">
        <v>木製小物</v>
      </c>
      <c r="D471" s="43" t="n">
        <v>7</v>
      </c>
      <c r="E471" s="43" t="n">
        <v>2500</v>
      </c>
      <c r="F471" s="43" t="n">
        <f>ROUND(D471*E471,0)</f>
        <v>17500</v>
      </c>
      <c r="G471" s="43" t="n">
        <v>9450</v>
      </c>
      <c r="H471" s="43" t="n">
        <f>F471-G471</f>
        <v>8050</v>
      </c>
      <c r="I471" s="41" t="str">
        <v>架空サンプル</v>
      </c>
    </row>
    <row r="472" ht="25" customHeight="1">
      <c r="A472" s="42" t="d">
        <v>2026-08-25T00:00:00.000Z</v>
      </c>
      <c r="B472" s="41" t="str">
        <v>木工所</v>
      </c>
      <c r="C472" s="41" t="str">
        <v>木製小物</v>
      </c>
      <c r="D472" s="43" t="n">
        <v>12</v>
      </c>
      <c r="E472" s="43" t="n">
        <v>2500</v>
      </c>
      <c r="F472" s="43" t="n">
        <f>ROUND(D472*E472,0)</f>
        <v>30000</v>
      </c>
      <c r="G472" s="43" t="n">
        <v>16200</v>
      </c>
      <c r="H472" s="43" t="n">
        <f>F472-G472</f>
        <v>13800</v>
      </c>
      <c r="I472" s="41" t="str">
        <v>架空サンプル</v>
      </c>
    </row>
    <row r="473" ht="25" customHeight="1">
      <c r="A473" s="42" t="d">
        <v>2026-08-05T00:00:00.000Z</v>
      </c>
      <c r="B473" s="41" t="str">
        <v>農家</v>
      </c>
      <c r="C473" s="41" t="str">
        <v>野菜5kg箱</v>
      </c>
      <c r="D473" s="43" t="n">
        <v>23</v>
      </c>
      <c r="E473" s="43" t="n">
        <v>2000</v>
      </c>
      <c r="F473" s="43" t="n">
        <f>ROUND(D473*E473,0)</f>
        <v>46000</v>
      </c>
      <c r="G473" s="43" t="n">
        <v>27600</v>
      </c>
      <c r="H473" s="43" t="n">
        <f>F473-G473</f>
        <v>18400</v>
      </c>
      <c r="I473" s="41" t="str">
        <v>架空サンプル</v>
      </c>
    </row>
    <row r="474" ht="25" customHeight="1">
      <c r="A474" s="42" t="d">
        <v>2026-08-15T00:00:00.000Z</v>
      </c>
      <c r="B474" s="41" t="str">
        <v>農家</v>
      </c>
      <c r="C474" s="41" t="str">
        <v>野菜5kg箱</v>
      </c>
      <c r="D474" s="43" t="n">
        <v>28</v>
      </c>
      <c r="E474" s="43" t="n">
        <v>2000</v>
      </c>
      <c r="F474" s="43" t="n">
        <f>ROUND(D474*E474,0)</f>
        <v>56000</v>
      </c>
      <c r="G474" s="43" t="n">
        <v>33600</v>
      </c>
      <c r="H474" s="43" t="n">
        <f>F474-G474</f>
        <v>22400</v>
      </c>
      <c r="I474" s="41" t="str">
        <v>架空サンプル</v>
      </c>
    </row>
    <row r="475" ht="25" customHeight="1">
      <c r="A475" s="42" t="d">
        <v>2026-08-25T00:00:00.000Z</v>
      </c>
      <c r="B475" s="41" t="str">
        <v>農家</v>
      </c>
      <c r="C475" s="41" t="str">
        <v>野菜5kg箱</v>
      </c>
      <c r="D475" s="43" t="n">
        <v>33</v>
      </c>
      <c r="E475" s="43" t="n">
        <v>2000</v>
      </c>
      <c r="F475" s="43" t="n">
        <f>ROUND(D475*E475,0)</f>
        <v>66000</v>
      </c>
      <c r="G475" s="43" t="n">
        <v>39600</v>
      </c>
      <c r="H475" s="43" t="n">
        <f>F475-G475</f>
        <v>26400</v>
      </c>
      <c r="I475" s="41" t="str">
        <v>架空サンプル</v>
      </c>
    </row>
    <row r="476" ht="25" customHeight="1">
      <c r="A476" s="42" t="d">
        <v>2026-08-05T00:00:00.000Z</v>
      </c>
      <c r="B476" s="41" t="str">
        <v>農家</v>
      </c>
      <c r="C476" s="41" t="str">
        <v>トマト箱</v>
      </c>
      <c r="D476" s="43" t="n">
        <v>26</v>
      </c>
      <c r="E476" s="43" t="n">
        <v>1800</v>
      </c>
      <c r="F476" s="43" t="n">
        <f>ROUND(D476*E476,0)</f>
        <v>46800</v>
      </c>
      <c r="G476" s="43" t="n">
        <v>30888</v>
      </c>
      <c r="H476" s="43" t="n">
        <f>F476-G476</f>
        <v>15912</v>
      </c>
      <c r="I476" s="41" t="str">
        <v>架空サンプル</v>
      </c>
    </row>
    <row r="477" ht="25" customHeight="1">
      <c r="A477" s="42" t="d">
        <v>2026-08-15T00:00:00.000Z</v>
      </c>
      <c r="B477" s="41" t="str">
        <v>農家</v>
      </c>
      <c r="C477" s="41" t="str">
        <v>トマト箱</v>
      </c>
      <c r="D477" s="43" t="n">
        <v>31</v>
      </c>
      <c r="E477" s="43" t="n">
        <v>1800</v>
      </c>
      <c r="F477" s="43" t="n">
        <f>ROUND(D477*E477,0)</f>
        <v>55800</v>
      </c>
      <c r="G477" s="43" t="n">
        <v>36828</v>
      </c>
      <c r="H477" s="43" t="n">
        <f>F477-G477</f>
        <v>18972</v>
      </c>
      <c r="I477" s="41" t="str">
        <v>架空サンプル</v>
      </c>
    </row>
    <row r="478" ht="25" customHeight="1">
      <c r="A478" s="42" t="d">
        <v>2026-08-25T00:00:00.000Z</v>
      </c>
      <c r="B478" s="41" t="str">
        <v>農家</v>
      </c>
      <c r="C478" s="41" t="str">
        <v>トマト箱</v>
      </c>
      <c r="D478" s="43" t="n">
        <v>36</v>
      </c>
      <c r="E478" s="43" t="n">
        <v>1800</v>
      </c>
      <c r="F478" s="43" t="n">
        <f>ROUND(D478*E478,0)</f>
        <v>64800</v>
      </c>
      <c r="G478" s="43" t="n">
        <v>42768</v>
      </c>
      <c r="H478" s="43" t="n">
        <f>F478-G478</f>
        <v>22032</v>
      </c>
      <c r="I478" s="41" t="str">
        <v>架空サンプル</v>
      </c>
    </row>
    <row r="479" ht="25" customHeight="1">
      <c r="A479" s="42" t="d">
        <v>2026-08-05T00:00:00.000Z</v>
      </c>
      <c r="B479" s="41" t="str">
        <v>農家</v>
      </c>
      <c r="C479" s="41" t="str">
        <v>米5kg</v>
      </c>
      <c r="D479" s="43" t="n">
        <v>29</v>
      </c>
      <c r="E479" s="43" t="n">
        <v>3200</v>
      </c>
      <c r="F479" s="43" t="n">
        <f>ROUND(D479*E479,0)</f>
        <v>92800</v>
      </c>
      <c r="G479" s="43" t="n">
        <v>66816</v>
      </c>
      <c r="H479" s="43" t="n">
        <f>F479-G479</f>
        <v>25984</v>
      </c>
      <c r="I479" s="41" t="str">
        <v>架空サンプル</v>
      </c>
    </row>
    <row r="480" ht="25" customHeight="1">
      <c r="A480" s="42" t="d">
        <v>2026-08-15T00:00:00.000Z</v>
      </c>
      <c r="B480" s="41" t="str">
        <v>農家</v>
      </c>
      <c r="C480" s="41" t="str">
        <v>米5kg</v>
      </c>
      <c r="D480" s="43" t="n">
        <v>34</v>
      </c>
      <c r="E480" s="43" t="n">
        <v>3200</v>
      </c>
      <c r="F480" s="43" t="n">
        <f>ROUND(D480*E480,0)</f>
        <v>108800</v>
      </c>
      <c r="G480" s="43" t="n">
        <v>78336</v>
      </c>
      <c r="H480" s="43" t="n">
        <f>F480-G480</f>
        <v>30464</v>
      </c>
      <c r="I480" s="41" t="str">
        <v>架空サンプル</v>
      </c>
    </row>
    <row r="481" ht="25" customHeight="1">
      <c r="A481" s="42" t="d">
        <v>2026-08-25T00:00:00.000Z</v>
      </c>
      <c r="B481" s="41" t="str">
        <v>農家</v>
      </c>
      <c r="C481" s="41" t="str">
        <v>米5kg</v>
      </c>
      <c r="D481" s="43" t="n">
        <v>22</v>
      </c>
      <c r="E481" s="43" t="n">
        <v>3200</v>
      </c>
      <c r="F481" s="43" t="n">
        <f>ROUND(D481*E481,0)</f>
        <v>70400</v>
      </c>
      <c r="G481" s="43" t="n">
        <v>50688</v>
      </c>
      <c r="H481" s="43" t="n">
        <f>F481-G481</f>
        <v>19712</v>
      </c>
      <c r="I481" s="41" t="str">
        <v>架空サンプル</v>
      </c>
    </row>
    <row r="482" ht="25" customHeight="1">
      <c r="A482" s="42" t="d">
        <v>2026-08-05T00:00:00.000Z</v>
      </c>
      <c r="B482" s="41" t="str">
        <v>農家</v>
      </c>
      <c r="C482" s="41" t="str">
        <v>季節の果物</v>
      </c>
      <c r="D482" s="43" t="n">
        <v>32</v>
      </c>
      <c r="E482" s="43" t="n">
        <v>4000</v>
      </c>
      <c r="F482" s="43" t="n">
        <f>ROUND(D482*E482,0)</f>
        <v>128000</v>
      </c>
      <c r="G482" s="43" t="n">
        <v>61440</v>
      </c>
      <c r="H482" s="43" t="n">
        <f>F482-G482</f>
        <v>66560</v>
      </c>
      <c r="I482" s="41" t="str">
        <v>架空サンプル</v>
      </c>
    </row>
    <row r="483" ht="25" customHeight="1">
      <c r="A483" s="42" t="d">
        <v>2026-08-15T00:00:00.000Z</v>
      </c>
      <c r="B483" s="41" t="str">
        <v>農家</v>
      </c>
      <c r="C483" s="41" t="str">
        <v>季節の果物</v>
      </c>
      <c r="D483" s="43" t="n">
        <v>20</v>
      </c>
      <c r="E483" s="43" t="n">
        <v>4000</v>
      </c>
      <c r="F483" s="43" t="n">
        <f>ROUND(D483*E483,0)</f>
        <v>80000</v>
      </c>
      <c r="G483" s="43" t="n">
        <v>38400</v>
      </c>
      <c r="H483" s="43" t="n">
        <f>F483-G483</f>
        <v>41600</v>
      </c>
      <c r="I483" s="41" t="str">
        <v>架空サンプル</v>
      </c>
    </row>
    <row r="484" ht="25" customHeight="1">
      <c r="A484" s="42" t="d">
        <v>2026-08-25T00:00:00.000Z</v>
      </c>
      <c r="B484" s="41" t="str">
        <v>農家</v>
      </c>
      <c r="C484" s="41" t="str">
        <v>季節の果物</v>
      </c>
      <c r="D484" s="43" t="n">
        <v>25</v>
      </c>
      <c r="E484" s="43" t="n">
        <v>4000</v>
      </c>
      <c r="F484" s="43" t="n">
        <f>ROUND(D484*E484,0)</f>
        <v>100000</v>
      </c>
      <c r="G484" s="43" t="n">
        <v>48000</v>
      </c>
      <c r="H484" s="43" t="n">
        <f>F484-G484</f>
        <v>52000</v>
      </c>
      <c r="I484" s="41" t="str">
        <v>架空サンプル</v>
      </c>
    </row>
    <row r="485" ht="25" customHeight="1">
      <c r="A485" s="42" t="d">
        <v>2026-09-05T00:00:00.000Z</v>
      </c>
      <c r="B485" s="41" t="str">
        <v>木工所</v>
      </c>
      <c r="C485" s="41" t="str">
        <v>テーブル</v>
      </c>
      <c r="D485" s="43" t="n">
        <v>17</v>
      </c>
      <c r="E485" s="43" t="n">
        <v>50000</v>
      </c>
      <c r="F485" s="43" t="n">
        <f>ROUND(D485*E485,0)</f>
        <v>850000</v>
      </c>
      <c r="G485" s="43" t="n">
        <v>612000</v>
      </c>
      <c r="H485" s="43" t="n">
        <f>F485-G485</f>
        <v>238000</v>
      </c>
      <c r="I485" s="41" t="str">
        <v>架空サンプル</v>
      </c>
    </row>
    <row r="486" ht="25" customHeight="1">
      <c r="A486" s="42" t="d">
        <v>2026-09-15T00:00:00.000Z</v>
      </c>
      <c r="B486" s="41" t="str">
        <v>木工所</v>
      </c>
      <c r="C486" s="41" t="str">
        <v>テーブル</v>
      </c>
      <c r="D486" s="43" t="n">
        <v>5</v>
      </c>
      <c r="E486" s="43" t="n">
        <v>50000</v>
      </c>
      <c r="F486" s="43" t="n">
        <f>ROUND(D486*E486,0)</f>
        <v>250000</v>
      </c>
      <c r="G486" s="43" t="n">
        <v>180000</v>
      </c>
      <c r="H486" s="43" t="n">
        <f>F486-G486</f>
        <v>70000</v>
      </c>
      <c r="I486" s="41" t="str">
        <v>架空サンプル</v>
      </c>
    </row>
    <row r="487" ht="25" customHeight="1">
      <c r="A487" s="42" t="d">
        <v>2026-09-25T00:00:00.000Z</v>
      </c>
      <c r="B487" s="41" t="str">
        <v>木工所</v>
      </c>
      <c r="C487" s="41" t="str">
        <v>テーブル</v>
      </c>
      <c r="D487" s="43" t="n">
        <v>10</v>
      </c>
      <c r="E487" s="43" t="n">
        <v>50000</v>
      </c>
      <c r="F487" s="43" t="n">
        <f>ROUND(D487*E487,0)</f>
        <v>500000</v>
      </c>
      <c r="G487" s="43" t="n">
        <v>360000</v>
      </c>
      <c r="H487" s="43" t="n">
        <f>F487-G487</f>
        <v>140000</v>
      </c>
      <c r="I487" s="41" t="str">
        <v>架空サンプル</v>
      </c>
    </row>
    <row r="488" ht="25" customHeight="1">
      <c r="A488" s="42" t="d">
        <v>2026-09-05T00:00:00.000Z</v>
      </c>
      <c r="B488" s="41" t="str">
        <v>木工所</v>
      </c>
      <c r="C488" s="41" t="str">
        <v>椅子</v>
      </c>
      <c r="D488" s="43" t="n">
        <v>3</v>
      </c>
      <c r="E488" s="43" t="n">
        <v>15000</v>
      </c>
      <c r="F488" s="43" t="n">
        <f>ROUND(D488*E488,0)</f>
        <v>45000</v>
      </c>
      <c r="G488" s="43" t="n">
        <v>21600</v>
      </c>
      <c r="H488" s="43" t="n">
        <f>F488-G488</f>
        <v>23400</v>
      </c>
      <c r="I488" s="41" t="str">
        <v>架空サンプル</v>
      </c>
    </row>
    <row r="489" ht="25" customHeight="1">
      <c r="A489" s="42" t="d">
        <v>2026-09-15T00:00:00.000Z</v>
      </c>
      <c r="B489" s="41" t="str">
        <v>木工所</v>
      </c>
      <c r="C489" s="41" t="str">
        <v>椅子</v>
      </c>
      <c r="D489" s="43" t="n">
        <v>8</v>
      </c>
      <c r="E489" s="43" t="n">
        <v>15000</v>
      </c>
      <c r="F489" s="43" t="n">
        <f>ROUND(D489*E489,0)</f>
        <v>120000</v>
      </c>
      <c r="G489" s="43" t="n">
        <v>57600</v>
      </c>
      <c r="H489" s="43" t="n">
        <f>F489-G489</f>
        <v>62400</v>
      </c>
      <c r="I489" s="41" t="str">
        <v>架空サンプル</v>
      </c>
    </row>
    <row r="490" ht="25" customHeight="1">
      <c r="A490" s="42" t="d">
        <v>2026-09-25T00:00:00.000Z</v>
      </c>
      <c r="B490" s="41" t="str">
        <v>木工所</v>
      </c>
      <c r="C490" s="41" t="str">
        <v>椅子</v>
      </c>
      <c r="D490" s="43" t="n">
        <v>13</v>
      </c>
      <c r="E490" s="43" t="n">
        <v>15000</v>
      </c>
      <c r="F490" s="43" t="n">
        <f>ROUND(D490*E490,0)</f>
        <v>195000</v>
      </c>
      <c r="G490" s="43" t="n">
        <v>93600</v>
      </c>
      <c r="H490" s="43" t="n">
        <f>F490-G490</f>
        <v>101400</v>
      </c>
      <c r="I490" s="41" t="str">
        <v>架空サンプル</v>
      </c>
    </row>
    <row r="491" ht="25" customHeight="1">
      <c r="A491" s="42" t="d">
        <v>2026-09-05T00:00:00.000Z</v>
      </c>
      <c r="B491" s="41" t="str">
        <v>木工所</v>
      </c>
      <c r="C491" s="41" t="str">
        <v>収納棚</v>
      </c>
      <c r="D491" s="43" t="n">
        <v>6</v>
      </c>
      <c r="E491" s="43" t="n">
        <v>35000</v>
      </c>
      <c r="F491" s="43" t="n">
        <f>ROUND(D491*E491,0)</f>
        <v>210000</v>
      </c>
      <c r="G491" s="43" t="n">
        <v>113400</v>
      </c>
      <c r="H491" s="43" t="n">
        <f>F491-G491</f>
        <v>96600</v>
      </c>
      <c r="I491" s="41" t="str">
        <v>架空サンプル</v>
      </c>
    </row>
    <row r="492" ht="25" customHeight="1">
      <c r="A492" s="42" t="d">
        <v>2026-09-15T00:00:00.000Z</v>
      </c>
      <c r="B492" s="41" t="str">
        <v>木工所</v>
      </c>
      <c r="C492" s="41" t="str">
        <v>収納棚</v>
      </c>
      <c r="D492" s="43" t="n">
        <v>11</v>
      </c>
      <c r="E492" s="43" t="n">
        <v>35000</v>
      </c>
      <c r="F492" s="43" t="n">
        <f>ROUND(D492*E492,0)</f>
        <v>385000</v>
      </c>
      <c r="G492" s="43" t="n">
        <v>207900</v>
      </c>
      <c r="H492" s="43" t="n">
        <f>F492-G492</f>
        <v>177100</v>
      </c>
      <c r="I492" s="41" t="str">
        <v>架空サンプル</v>
      </c>
    </row>
    <row r="493" ht="25" customHeight="1">
      <c r="A493" s="42" t="d">
        <v>2026-09-25T00:00:00.000Z</v>
      </c>
      <c r="B493" s="41" t="str">
        <v>木工所</v>
      </c>
      <c r="C493" s="41" t="str">
        <v>収納棚</v>
      </c>
      <c r="D493" s="43" t="n">
        <v>16</v>
      </c>
      <c r="E493" s="43" t="n">
        <v>35000</v>
      </c>
      <c r="F493" s="43" t="n">
        <f>ROUND(D493*E493,0)</f>
        <v>560000</v>
      </c>
      <c r="G493" s="43" t="n">
        <v>302400</v>
      </c>
      <c r="H493" s="43" t="n">
        <f>F493-G493</f>
        <v>257600</v>
      </c>
      <c r="I493" s="41" t="str">
        <v>架空サンプル</v>
      </c>
    </row>
    <row r="494" ht="25" customHeight="1">
      <c r="A494" s="42" t="d">
        <v>2026-09-05T00:00:00.000Z</v>
      </c>
      <c r="B494" s="41" t="str">
        <v>木工所</v>
      </c>
      <c r="C494" s="41" t="str">
        <v>木製小物</v>
      </c>
      <c r="D494" s="43" t="n">
        <v>9</v>
      </c>
      <c r="E494" s="43" t="n">
        <v>2500</v>
      </c>
      <c r="F494" s="43" t="n">
        <f>ROUND(D494*E494,0)</f>
        <v>22500</v>
      </c>
      <c r="G494" s="43" t="n">
        <v>13500</v>
      </c>
      <c r="H494" s="43" t="n">
        <f>F494-G494</f>
        <v>9000</v>
      </c>
      <c r="I494" s="41" t="str">
        <v>架空サンプル</v>
      </c>
    </row>
    <row r="495" ht="25" customHeight="1">
      <c r="A495" s="42" t="d">
        <v>2026-09-15T00:00:00.000Z</v>
      </c>
      <c r="B495" s="41" t="str">
        <v>木工所</v>
      </c>
      <c r="C495" s="41" t="str">
        <v>木製小物</v>
      </c>
      <c r="D495" s="43" t="n">
        <v>14</v>
      </c>
      <c r="E495" s="43" t="n">
        <v>2500</v>
      </c>
      <c r="F495" s="43" t="n">
        <f>ROUND(D495*E495,0)</f>
        <v>35000</v>
      </c>
      <c r="G495" s="43" t="n">
        <v>21000</v>
      </c>
      <c r="H495" s="43" t="n">
        <f>F495-G495</f>
        <v>14000</v>
      </c>
      <c r="I495" s="41" t="str">
        <v>架空サンプル</v>
      </c>
    </row>
    <row r="496" ht="25" customHeight="1">
      <c r="A496" s="42" t="d">
        <v>2026-09-25T00:00:00.000Z</v>
      </c>
      <c r="B496" s="41" t="str">
        <v>木工所</v>
      </c>
      <c r="C496" s="41" t="str">
        <v>木製小物</v>
      </c>
      <c r="D496" s="43" t="n">
        <v>2</v>
      </c>
      <c r="E496" s="43" t="n">
        <v>2500</v>
      </c>
      <c r="F496" s="43" t="n">
        <f>ROUND(D496*E496,0)</f>
        <v>5000</v>
      </c>
      <c r="G496" s="43" t="n">
        <v>3000</v>
      </c>
      <c r="H496" s="43" t="n">
        <f>F496-G496</f>
        <v>2000</v>
      </c>
      <c r="I496" s="41" t="str">
        <v>架空サンプル</v>
      </c>
    </row>
    <row r="497" ht="25" customHeight="1">
      <c r="A497" s="42" t="d">
        <v>2026-09-05T00:00:00.000Z</v>
      </c>
      <c r="B497" s="41" t="str">
        <v>農家</v>
      </c>
      <c r="C497" s="41" t="str">
        <v>野菜5kg箱</v>
      </c>
      <c r="D497" s="43" t="n">
        <v>30</v>
      </c>
      <c r="E497" s="43" t="n">
        <v>2000</v>
      </c>
      <c r="F497" s="43" t="n">
        <f>ROUND(D497*E497,0)</f>
        <v>60000</v>
      </c>
      <c r="G497" s="43" t="n">
        <v>39600</v>
      </c>
      <c r="H497" s="43" t="n">
        <f>F497-G497</f>
        <v>20400</v>
      </c>
      <c r="I497" s="41" t="str">
        <v>架空サンプル</v>
      </c>
    </row>
    <row r="498" ht="25" customHeight="1">
      <c r="A498" s="42" t="d">
        <v>2026-09-15T00:00:00.000Z</v>
      </c>
      <c r="B498" s="41" t="str">
        <v>農家</v>
      </c>
      <c r="C498" s="41" t="str">
        <v>野菜5kg箱</v>
      </c>
      <c r="D498" s="43" t="n">
        <v>35</v>
      </c>
      <c r="E498" s="43" t="n">
        <v>2000</v>
      </c>
      <c r="F498" s="43" t="n">
        <f>ROUND(D498*E498,0)</f>
        <v>70000</v>
      </c>
      <c r="G498" s="43" t="n">
        <v>46200</v>
      </c>
      <c r="H498" s="43" t="n">
        <f>F498-G498</f>
        <v>23800</v>
      </c>
      <c r="I498" s="41" t="str">
        <v>架空サンプル</v>
      </c>
    </row>
    <row r="499" ht="25" customHeight="1">
      <c r="A499" s="42" t="d">
        <v>2026-09-25T00:00:00.000Z</v>
      </c>
      <c r="B499" s="41" t="str">
        <v>農家</v>
      </c>
      <c r="C499" s="41" t="str">
        <v>野菜5kg箱</v>
      </c>
      <c r="D499" s="43" t="n">
        <v>23</v>
      </c>
      <c r="E499" s="43" t="n">
        <v>2000</v>
      </c>
      <c r="F499" s="43" t="n">
        <f>ROUND(D499*E499,0)</f>
        <v>46000</v>
      </c>
      <c r="G499" s="43" t="n">
        <v>30360</v>
      </c>
      <c r="H499" s="43" t="n">
        <f>F499-G499</f>
        <v>15640</v>
      </c>
      <c r="I499" s="41" t="str">
        <v>架空サンプル</v>
      </c>
    </row>
    <row r="500" ht="25" customHeight="1">
      <c r="A500" s="42" t="d">
        <v>2026-09-05T00:00:00.000Z</v>
      </c>
      <c r="B500" s="41" t="str">
        <v>農家</v>
      </c>
      <c r="C500" s="41" t="str">
        <v>トマト箱</v>
      </c>
      <c r="D500" s="43" t="n">
        <v>33</v>
      </c>
      <c r="E500" s="43" t="n">
        <v>1800</v>
      </c>
      <c r="F500" s="43" t="n">
        <f>ROUND(D500*E500,0)</f>
        <v>59400</v>
      </c>
      <c r="G500" s="43" t="n">
        <v>42768</v>
      </c>
      <c r="H500" s="43" t="n">
        <f>F500-G500</f>
        <v>16632</v>
      </c>
      <c r="I500" s="41" t="str">
        <v>架空サンプル</v>
      </c>
    </row>
    <row r="501" ht="25" customHeight="1">
      <c r="A501" s="42" t="d">
        <v>2026-09-15T00:00:00.000Z</v>
      </c>
      <c r="B501" s="41" t="str">
        <v>農家</v>
      </c>
      <c r="C501" s="41" t="str">
        <v>トマト箱</v>
      </c>
      <c r="D501" s="43" t="n">
        <v>21</v>
      </c>
      <c r="E501" s="43" t="n">
        <v>1800</v>
      </c>
      <c r="F501" s="43" t="n">
        <f>ROUND(D501*E501,0)</f>
        <v>37800</v>
      </c>
      <c r="G501" s="43" t="n">
        <v>27216</v>
      </c>
      <c r="H501" s="43" t="n">
        <f>F501-G501</f>
        <v>10584</v>
      </c>
      <c r="I501" s="41" t="str">
        <v>架空サンプル</v>
      </c>
    </row>
    <row r="502" ht="25" customHeight="1">
      <c r="A502" s="42" t="d">
        <v>2026-09-25T00:00:00.000Z</v>
      </c>
      <c r="B502" s="41" t="str">
        <v>農家</v>
      </c>
      <c r="C502" s="41" t="str">
        <v>トマト箱</v>
      </c>
      <c r="D502" s="43" t="n">
        <v>26</v>
      </c>
      <c r="E502" s="43" t="n">
        <v>1800</v>
      </c>
      <c r="F502" s="43" t="n">
        <f>ROUND(D502*E502,0)</f>
        <v>46800</v>
      </c>
      <c r="G502" s="43" t="n">
        <v>33696</v>
      </c>
      <c r="H502" s="43" t="n">
        <f>F502-G502</f>
        <v>13104</v>
      </c>
      <c r="I502" s="41" t="str">
        <v>架空サンプル</v>
      </c>
    </row>
    <row r="503" ht="25" customHeight="1">
      <c r="A503" s="42" t="d">
        <v>2026-09-05T00:00:00.000Z</v>
      </c>
      <c r="B503" s="41" t="str">
        <v>農家</v>
      </c>
      <c r="C503" s="41" t="str">
        <v>米5kg</v>
      </c>
      <c r="D503" s="43" t="n">
        <v>36</v>
      </c>
      <c r="E503" s="43" t="n">
        <v>3200</v>
      </c>
      <c r="F503" s="43" t="n">
        <f>ROUND(D503*E503,0)</f>
        <v>115200</v>
      </c>
      <c r="G503" s="43" t="n">
        <v>55296</v>
      </c>
      <c r="H503" s="43" t="n">
        <f>F503-G503</f>
        <v>59904</v>
      </c>
      <c r="I503" s="41" t="str">
        <v>架空サンプル</v>
      </c>
    </row>
    <row r="504" ht="25" customHeight="1">
      <c r="A504" s="42" t="d">
        <v>2026-09-15T00:00:00.000Z</v>
      </c>
      <c r="B504" s="41" t="str">
        <v>農家</v>
      </c>
      <c r="C504" s="41" t="str">
        <v>米5kg</v>
      </c>
      <c r="D504" s="43" t="n">
        <v>24</v>
      </c>
      <c r="E504" s="43" t="n">
        <v>3200</v>
      </c>
      <c r="F504" s="43" t="n">
        <f>ROUND(D504*E504,0)</f>
        <v>76800</v>
      </c>
      <c r="G504" s="43" t="n">
        <v>36864</v>
      </c>
      <c r="H504" s="43" t="n">
        <f>F504-G504</f>
        <v>39936</v>
      </c>
      <c r="I504" s="41" t="str">
        <v>架空サンプル</v>
      </c>
    </row>
    <row r="505" ht="25" customHeight="1">
      <c r="A505" s="42" t="d">
        <v>2026-09-25T00:00:00.000Z</v>
      </c>
      <c r="B505" s="41" t="str">
        <v>農家</v>
      </c>
      <c r="C505" s="41" t="str">
        <v>米5kg</v>
      </c>
      <c r="D505" s="43" t="n">
        <v>29</v>
      </c>
      <c r="E505" s="43" t="n">
        <v>3200</v>
      </c>
      <c r="F505" s="43" t="n">
        <f>ROUND(D505*E505,0)</f>
        <v>92800</v>
      </c>
      <c r="G505" s="43" t="n">
        <v>44544</v>
      </c>
      <c r="H505" s="43" t="n">
        <f>F505-G505</f>
        <v>48256</v>
      </c>
      <c r="I505" s="41" t="str">
        <v>架空サンプル</v>
      </c>
    </row>
    <row r="506" ht="25" customHeight="1">
      <c r="A506" s="42" t="d">
        <v>2026-09-05T00:00:00.000Z</v>
      </c>
      <c r="B506" s="41" t="str">
        <v>農家</v>
      </c>
      <c r="C506" s="41" t="str">
        <v>季節の果物</v>
      </c>
      <c r="D506" s="43" t="n">
        <v>22</v>
      </c>
      <c r="E506" s="43" t="n">
        <v>4000</v>
      </c>
      <c r="F506" s="43" t="n">
        <f>ROUND(D506*E506,0)</f>
        <v>88000</v>
      </c>
      <c r="G506" s="43" t="n">
        <v>47520</v>
      </c>
      <c r="H506" s="43" t="n">
        <f>F506-G506</f>
        <v>40480</v>
      </c>
      <c r="I506" s="41" t="str">
        <v>架空サンプル</v>
      </c>
    </row>
    <row r="507" ht="25" customHeight="1">
      <c r="A507" s="42" t="d">
        <v>2026-09-15T00:00:00.000Z</v>
      </c>
      <c r="B507" s="41" t="str">
        <v>農家</v>
      </c>
      <c r="C507" s="41" t="str">
        <v>季節の果物</v>
      </c>
      <c r="D507" s="43" t="n">
        <v>27</v>
      </c>
      <c r="E507" s="43" t="n">
        <v>4000</v>
      </c>
      <c r="F507" s="43" t="n">
        <f>ROUND(D507*E507,0)</f>
        <v>108000</v>
      </c>
      <c r="G507" s="43" t="n">
        <v>58320</v>
      </c>
      <c r="H507" s="43" t="n">
        <f>F507-G507</f>
        <v>49680</v>
      </c>
      <c r="I507" s="41" t="str">
        <v>架空サンプル</v>
      </c>
    </row>
    <row r="508" ht="25" customHeight="1">
      <c r="A508" s="42" t="d">
        <v>2026-09-25T00:00:00.000Z</v>
      </c>
      <c r="B508" s="41" t="str">
        <v>農家</v>
      </c>
      <c r="C508" s="41" t="str">
        <v>季節の果物</v>
      </c>
      <c r="D508" s="43" t="n">
        <v>32</v>
      </c>
      <c r="E508" s="43" t="n">
        <v>4000</v>
      </c>
      <c r="F508" s="43" t="n">
        <f>ROUND(D508*E508,0)</f>
        <v>128000</v>
      </c>
      <c r="G508" s="43" t="n">
        <v>69120</v>
      </c>
      <c r="H508" s="43" t="n">
        <f>F508-G508</f>
        <v>58880</v>
      </c>
      <c r="I508" s="41" t="str">
        <v>架空サンプル</v>
      </c>
    </row>
    <row r="509" ht="25" customHeight="1">
      <c r="A509" s="42" t="d">
        <v>2026-10-05T00:00:00.000Z</v>
      </c>
      <c r="B509" s="41" t="str">
        <v>木工所</v>
      </c>
      <c r="C509" s="41" t="str">
        <v>テーブル</v>
      </c>
      <c r="D509" s="43" t="n">
        <v>7</v>
      </c>
      <c r="E509" s="43" t="n">
        <v>50000</v>
      </c>
      <c r="F509" s="43" t="n">
        <f>ROUND(D509*E509,0)</f>
        <v>350000</v>
      </c>
      <c r="G509" s="43" t="n">
        <v>168000</v>
      </c>
      <c r="H509" s="43" t="n">
        <f>F509-G509</f>
        <v>182000</v>
      </c>
      <c r="I509" s="41" t="str">
        <v>架空サンプル</v>
      </c>
    </row>
    <row r="510" ht="25" customHeight="1">
      <c r="A510" s="42" t="d">
        <v>2026-10-15T00:00:00.000Z</v>
      </c>
      <c r="B510" s="41" t="str">
        <v>木工所</v>
      </c>
      <c r="C510" s="41" t="str">
        <v>テーブル</v>
      </c>
      <c r="D510" s="43" t="n">
        <v>12</v>
      </c>
      <c r="E510" s="43" t="n">
        <v>50000</v>
      </c>
      <c r="F510" s="43" t="n">
        <f>ROUND(D510*E510,0)</f>
        <v>600000</v>
      </c>
      <c r="G510" s="43" t="n">
        <v>288000</v>
      </c>
      <c r="H510" s="43" t="n">
        <f>F510-G510</f>
        <v>312000</v>
      </c>
      <c r="I510" s="41" t="str">
        <v>架空サンプル</v>
      </c>
    </row>
    <row r="511" ht="25" customHeight="1">
      <c r="A511" s="42" t="d">
        <v>2026-10-25T00:00:00.000Z</v>
      </c>
      <c r="B511" s="41" t="str">
        <v>木工所</v>
      </c>
      <c r="C511" s="41" t="str">
        <v>テーブル</v>
      </c>
      <c r="D511" s="43" t="n">
        <v>17</v>
      </c>
      <c r="E511" s="43" t="n">
        <v>50000</v>
      </c>
      <c r="F511" s="43" t="n">
        <f>ROUND(D511*E511,0)</f>
        <v>850000</v>
      </c>
      <c r="G511" s="43" t="n">
        <v>408000</v>
      </c>
      <c r="H511" s="43" t="n">
        <f>F511-G511</f>
        <v>442000</v>
      </c>
      <c r="I511" s="41" t="str">
        <v>架空サンプル</v>
      </c>
    </row>
    <row r="512" ht="25" customHeight="1">
      <c r="A512" s="42" t="d">
        <v>2026-10-05T00:00:00.000Z</v>
      </c>
      <c r="B512" s="41" t="str">
        <v>木工所</v>
      </c>
      <c r="C512" s="41" t="str">
        <v>椅子</v>
      </c>
      <c r="D512" s="43" t="n">
        <v>10</v>
      </c>
      <c r="E512" s="43" t="n">
        <v>15000</v>
      </c>
      <c r="F512" s="43" t="n">
        <f>ROUND(D512*E512,0)</f>
        <v>150000</v>
      </c>
      <c r="G512" s="43" t="n">
        <v>81000</v>
      </c>
      <c r="H512" s="43" t="n">
        <f>F512-G512</f>
        <v>69000</v>
      </c>
      <c r="I512" s="41" t="str">
        <v>架空サンプル</v>
      </c>
    </row>
    <row r="513" ht="25" customHeight="1">
      <c r="A513" s="42" t="d">
        <v>2026-10-15T00:00:00.000Z</v>
      </c>
      <c r="B513" s="41" t="str">
        <v>木工所</v>
      </c>
      <c r="C513" s="41" t="str">
        <v>椅子</v>
      </c>
      <c r="D513" s="43" t="n">
        <v>15</v>
      </c>
      <c r="E513" s="43" t="n">
        <v>15000</v>
      </c>
      <c r="F513" s="43" t="n">
        <f>ROUND(D513*E513,0)</f>
        <v>225000</v>
      </c>
      <c r="G513" s="43" t="n">
        <v>121500</v>
      </c>
      <c r="H513" s="43" t="n">
        <f>F513-G513</f>
        <v>103500</v>
      </c>
      <c r="I513" s="41" t="str">
        <v>架空サンプル</v>
      </c>
    </row>
    <row r="514" ht="25" customHeight="1">
      <c r="A514" s="42" t="d">
        <v>2026-10-25T00:00:00.000Z</v>
      </c>
      <c r="B514" s="41" t="str">
        <v>木工所</v>
      </c>
      <c r="C514" s="41" t="str">
        <v>椅子</v>
      </c>
      <c r="D514" s="43" t="n">
        <v>3</v>
      </c>
      <c r="E514" s="43" t="n">
        <v>15000</v>
      </c>
      <c r="F514" s="43" t="n">
        <f>ROUND(D514*E514,0)</f>
        <v>45000</v>
      </c>
      <c r="G514" s="43" t="n">
        <v>24300</v>
      </c>
      <c r="H514" s="43" t="n">
        <f>F514-G514</f>
        <v>20700</v>
      </c>
      <c r="I514" s="41" t="str">
        <v>架空サンプル</v>
      </c>
    </row>
    <row r="515" ht="25" customHeight="1">
      <c r="A515" s="42" t="d">
        <v>2026-10-05T00:00:00.000Z</v>
      </c>
      <c r="B515" s="41" t="str">
        <v>木工所</v>
      </c>
      <c r="C515" s="41" t="str">
        <v>収納棚</v>
      </c>
      <c r="D515" s="43" t="n">
        <v>13</v>
      </c>
      <c r="E515" s="43" t="n">
        <v>35000</v>
      </c>
      <c r="F515" s="43" t="n">
        <f>ROUND(D515*E515,0)</f>
        <v>455000</v>
      </c>
      <c r="G515" s="43" t="n">
        <v>273000</v>
      </c>
      <c r="H515" s="43" t="n">
        <f>F515-G515</f>
        <v>182000</v>
      </c>
      <c r="I515" s="41" t="str">
        <v>架空サンプル</v>
      </c>
    </row>
    <row r="516" ht="25" customHeight="1">
      <c r="A516" s="42" t="d">
        <v>2026-10-15T00:00:00.000Z</v>
      </c>
      <c r="B516" s="41" t="str">
        <v>木工所</v>
      </c>
      <c r="C516" s="41" t="str">
        <v>収納棚</v>
      </c>
      <c r="D516" s="43" t="n">
        <v>18</v>
      </c>
      <c r="E516" s="43" t="n">
        <v>35000</v>
      </c>
      <c r="F516" s="43" t="n">
        <f>ROUND(D516*E516,0)</f>
        <v>630000</v>
      </c>
      <c r="G516" s="43" t="n">
        <v>378000</v>
      </c>
      <c r="H516" s="43" t="n">
        <f>F516-G516</f>
        <v>252000</v>
      </c>
      <c r="I516" s="41" t="str">
        <v>架空サンプル</v>
      </c>
    </row>
    <row r="517" ht="25" customHeight="1">
      <c r="A517" s="42" t="d">
        <v>2026-10-25T00:00:00.000Z</v>
      </c>
      <c r="B517" s="41" t="str">
        <v>木工所</v>
      </c>
      <c r="C517" s="41" t="str">
        <v>収納棚</v>
      </c>
      <c r="D517" s="43" t="n">
        <v>6</v>
      </c>
      <c r="E517" s="43" t="n">
        <v>35000</v>
      </c>
      <c r="F517" s="43" t="n">
        <f>ROUND(D517*E517,0)</f>
        <v>210000</v>
      </c>
      <c r="G517" s="43" t="n">
        <v>126000</v>
      </c>
      <c r="H517" s="43" t="n">
        <f>F517-G517</f>
        <v>84000</v>
      </c>
      <c r="I517" s="41" t="str">
        <v>架空サンプル</v>
      </c>
    </row>
    <row r="518" ht="25" customHeight="1">
      <c r="A518" s="42" t="d">
        <v>2026-10-05T00:00:00.000Z</v>
      </c>
      <c r="B518" s="41" t="str">
        <v>木工所</v>
      </c>
      <c r="C518" s="41" t="str">
        <v>木製小物</v>
      </c>
      <c r="D518" s="43" t="n">
        <v>16</v>
      </c>
      <c r="E518" s="43" t="n">
        <v>2500</v>
      </c>
      <c r="F518" s="43" t="n">
        <f>ROUND(D518*E518,0)</f>
        <v>40000</v>
      </c>
      <c r="G518" s="43" t="n">
        <v>26400</v>
      </c>
      <c r="H518" s="43" t="n">
        <f>F518-G518</f>
        <v>13600</v>
      </c>
      <c r="I518" s="41" t="str">
        <v>架空サンプル</v>
      </c>
    </row>
    <row r="519" ht="25" customHeight="1">
      <c r="A519" s="42" t="d">
        <v>2026-10-15T00:00:00.000Z</v>
      </c>
      <c r="B519" s="41" t="str">
        <v>木工所</v>
      </c>
      <c r="C519" s="41" t="str">
        <v>木製小物</v>
      </c>
      <c r="D519" s="43" t="n">
        <v>4</v>
      </c>
      <c r="E519" s="43" t="n">
        <v>2500</v>
      </c>
      <c r="F519" s="43" t="n">
        <f>ROUND(D519*E519,0)</f>
        <v>10000</v>
      </c>
      <c r="G519" s="43" t="n">
        <v>6600</v>
      </c>
      <c r="H519" s="43" t="n">
        <f>F519-G519</f>
        <v>3400</v>
      </c>
      <c r="I519" s="41" t="str">
        <v>架空サンプル</v>
      </c>
    </row>
    <row r="520" ht="25" customHeight="1">
      <c r="A520" s="42" t="d">
        <v>2026-10-25T00:00:00.000Z</v>
      </c>
      <c r="B520" s="41" t="str">
        <v>木工所</v>
      </c>
      <c r="C520" s="41" t="str">
        <v>木製小物</v>
      </c>
      <c r="D520" s="43" t="n">
        <v>9</v>
      </c>
      <c r="E520" s="43" t="n">
        <v>2500</v>
      </c>
      <c r="F520" s="43" t="n">
        <f>ROUND(D520*E520,0)</f>
        <v>22500</v>
      </c>
      <c r="G520" s="43" t="n">
        <v>14850</v>
      </c>
      <c r="H520" s="43" t="n">
        <f>F520-G520</f>
        <v>7650</v>
      </c>
      <c r="I520" s="41" t="str">
        <v>架空サンプル</v>
      </c>
    </row>
    <row r="521" ht="25" customHeight="1">
      <c r="A521" s="42" t="d">
        <v>2026-10-05T00:00:00.000Z</v>
      </c>
      <c r="B521" s="41" t="str">
        <v>農家</v>
      </c>
      <c r="C521" s="41" t="str">
        <v>野菜5kg箱</v>
      </c>
      <c r="D521" s="43" t="n">
        <v>20</v>
      </c>
      <c r="E521" s="43" t="n">
        <v>2000</v>
      </c>
      <c r="F521" s="43" t="n">
        <f>ROUND(D521*E521,0)</f>
        <v>40000</v>
      </c>
      <c r="G521" s="43" t="n">
        <v>28800</v>
      </c>
      <c r="H521" s="43" t="n">
        <f>F521-G521</f>
        <v>11200</v>
      </c>
      <c r="I521" s="41" t="str">
        <v>架空サンプル</v>
      </c>
    </row>
    <row r="522" ht="25" customHeight="1">
      <c r="A522" s="42" t="d">
        <v>2026-10-15T00:00:00.000Z</v>
      </c>
      <c r="B522" s="41" t="str">
        <v>農家</v>
      </c>
      <c r="C522" s="41" t="str">
        <v>野菜5kg箱</v>
      </c>
      <c r="D522" s="43" t="n">
        <v>25</v>
      </c>
      <c r="E522" s="43" t="n">
        <v>2000</v>
      </c>
      <c r="F522" s="43" t="n">
        <f>ROUND(D522*E522,0)</f>
        <v>50000</v>
      </c>
      <c r="G522" s="43" t="n">
        <v>36000</v>
      </c>
      <c r="H522" s="43" t="n">
        <f>F522-G522</f>
        <v>14000</v>
      </c>
      <c r="I522" s="41" t="str">
        <v>架空サンプル</v>
      </c>
    </row>
    <row r="523" ht="25" customHeight="1">
      <c r="A523" s="42" t="d">
        <v>2026-10-25T00:00:00.000Z</v>
      </c>
      <c r="B523" s="41" t="str">
        <v>農家</v>
      </c>
      <c r="C523" s="41" t="str">
        <v>野菜5kg箱</v>
      </c>
      <c r="D523" s="43" t="n">
        <v>30</v>
      </c>
      <c r="E523" s="43" t="n">
        <v>2000</v>
      </c>
      <c r="F523" s="43" t="n">
        <f>ROUND(D523*E523,0)</f>
        <v>60000</v>
      </c>
      <c r="G523" s="43" t="n">
        <v>43200</v>
      </c>
      <c r="H523" s="43" t="n">
        <f>F523-G523</f>
        <v>16800</v>
      </c>
      <c r="I523" s="41" t="str">
        <v>架空サンプル</v>
      </c>
    </row>
    <row r="524" ht="25" customHeight="1">
      <c r="A524" s="42" t="d">
        <v>2026-10-05T00:00:00.000Z</v>
      </c>
      <c r="B524" s="41" t="str">
        <v>農家</v>
      </c>
      <c r="C524" s="41" t="str">
        <v>トマト箱</v>
      </c>
      <c r="D524" s="43" t="n">
        <v>23</v>
      </c>
      <c r="E524" s="43" t="n">
        <v>1800</v>
      </c>
      <c r="F524" s="43" t="n">
        <f>ROUND(D524*E524,0)</f>
        <v>41400</v>
      </c>
      <c r="G524" s="43" t="n">
        <v>19872</v>
      </c>
      <c r="H524" s="43" t="n">
        <f>F524-G524</f>
        <v>21528</v>
      </c>
      <c r="I524" s="41" t="str">
        <v>架空サンプル</v>
      </c>
    </row>
    <row r="525" ht="25" customHeight="1">
      <c r="A525" s="42" t="d">
        <v>2026-10-15T00:00:00.000Z</v>
      </c>
      <c r="B525" s="41" t="str">
        <v>農家</v>
      </c>
      <c r="C525" s="41" t="str">
        <v>トマト箱</v>
      </c>
      <c r="D525" s="43" t="n">
        <v>28</v>
      </c>
      <c r="E525" s="43" t="n">
        <v>1800</v>
      </c>
      <c r="F525" s="43" t="n">
        <f>ROUND(D525*E525,0)</f>
        <v>50400</v>
      </c>
      <c r="G525" s="43" t="n">
        <v>24192</v>
      </c>
      <c r="H525" s="43" t="n">
        <f>F525-G525</f>
        <v>26208</v>
      </c>
      <c r="I525" s="41" t="str">
        <v>架空サンプル</v>
      </c>
    </row>
    <row r="526" ht="25" customHeight="1">
      <c r="A526" s="42" t="d">
        <v>2026-10-25T00:00:00.000Z</v>
      </c>
      <c r="B526" s="41" t="str">
        <v>農家</v>
      </c>
      <c r="C526" s="41" t="str">
        <v>トマト箱</v>
      </c>
      <c r="D526" s="43" t="n">
        <v>33</v>
      </c>
      <c r="E526" s="43" t="n">
        <v>1800</v>
      </c>
      <c r="F526" s="43" t="n">
        <f>ROUND(D526*E526,0)</f>
        <v>59400</v>
      </c>
      <c r="G526" s="43" t="n">
        <v>28512</v>
      </c>
      <c r="H526" s="43" t="n">
        <f>F526-G526</f>
        <v>30888</v>
      </c>
      <c r="I526" s="41" t="str">
        <v>架空サンプル</v>
      </c>
    </row>
    <row r="527" ht="25" customHeight="1">
      <c r="A527" s="42" t="d">
        <v>2026-10-05T00:00:00.000Z</v>
      </c>
      <c r="B527" s="41" t="str">
        <v>農家</v>
      </c>
      <c r="C527" s="41" t="str">
        <v>米5kg</v>
      </c>
      <c r="D527" s="43" t="n">
        <v>26</v>
      </c>
      <c r="E527" s="43" t="n">
        <v>3200</v>
      </c>
      <c r="F527" s="43" t="n">
        <f>ROUND(D527*E527,0)</f>
        <v>83200</v>
      </c>
      <c r="G527" s="43" t="n">
        <v>44928</v>
      </c>
      <c r="H527" s="43" t="n">
        <f>F527-G527</f>
        <v>38272</v>
      </c>
      <c r="I527" s="41" t="str">
        <v>架空サンプル</v>
      </c>
    </row>
    <row r="528" ht="25" customHeight="1">
      <c r="A528" s="42" t="d">
        <v>2026-10-15T00:00:00.000Z</v>
      </c>
      <c r="B528" s="41" t="str">
        <v>農家</v>
      </c>
      <c r="C528" s="41" t="str">
        <v>米5kg</v>
      </c>
      <c r="D528" s="43" t="n">
        <v>31</v>
      </c>
      <c r="E528" s="43" t="n">
        <v>3200</v>
      </c>
      <c r="F528" s="43" t="n">
        <f>ROUND(D528*E528,0)</f>
        <v>99200</v>
      </c>
      <c r="G528" s="43" t="n">
        <v>53568</v>
      </c>
      <c r="H528" s="43" t="n">
        <f>F528-G528</f>
        <v>45632</v>
      </c>
      <c r="I528" s="41" t="str">
        <v>架空サンプル</v>
      </c>
    </row>
    <row r="529" ht="25" customHeight="1">
      <c r="A529" s="42" t="d">
        <v>2026-10-25T00:00:00.000Z</v>
      </c>
      <c r="B529" s="41" t="str">
        <v>農家</v>
      </c>
      <c r="C529" s="41" t="str">
        <v>米5kg</v>
      </c>
      <c r="D529" s="43" t="n">
        <v>36</v>
      </c>
      <c r="E529" s="43" t="n">
        <v>3200</v>
      </c>
      <c r="F529" s="43" t="n">
        <f>ROUND(D529*E529,0)</f>
        <v>115200</v>
      </c>
      <c r="G529" s="43" t="n">
        <v>62208</v>
      </c>
      <c r="H529" s="43" t="n">
        <f>F529-G529</f>
        <v>52992</v>
      </c>
      <c r="I529" s="41" t="str">
        <v>架空サンプル</v>
      </c>
    </row>
    <row r="530" ht="25" customHeight="1">
      <c r="A530" s="42" t="d">
        <v>2026-10-05T00:00:00.000Z</v>
      </c>
      <c r="B530" s="41" t="str">
        <v>農家</v>
      </c>
      <c r="C530" s="41" t="str">
        <v>季節の果物</v>
      </c>
      <c r="D530" s="43" t="n">
        <v>29</v>
      </c>
      <c r="E530" s="43" t="n">
        <v>4000</v>
      </c>
      <c r="F530" s="43" t="n">
        <f>ROUND(D530*E530,0)</f>
        <v>116000</v>
      </c>
      <c r="G530" s="43" t="n">
        <v>69600</v>
      </c>
      <c r="H530" s="43" t="n">
        <f>F530-G530</f>
        <v>46400</v>
      </c>
      <c r="I530" s="41" t="str">
        <v>架空サンプル</v>
      </c>
    </row>
    <row r="531" ht="25" customHeight="1">
      <c r="A531" s="42" t="d">
        <v>2026-10-15T00:00:00.000Z</v>
      </c>
      <c r="B531" s="41" t="str">
        <v>農家</v>
      </c>
      <c r="C531" s="41" t="str">
        <v>季節の果物</v>
      </c>
      <c r="D531" s="43" t="n">
        <v>34</v>
      </c>
      <c r="E531" s="43" t="n">
        <v>4000</v>
      </c>
      <c r="F531" s="43" t="n">
        <f>ROUND(D531*E531,0)</f>
        <v>136000</v>
      </c>
      <c r="G531" s="43" t="n">
        <v>81600</v>
      </c>
      <c r="H531" s="43" t="n">
        <f>F531-G531</f>
        <v>54400</v>
      </c>
      <c r="I531" s="41" t="str">
        <v>架空サンプル</v>
      </c>
    </row>
    <row r="532" ht="25" customHeight="1">
      <c r="A532" s="42" t="d">
        <v>2026-10-25T00:00:00.000Z</v>
      </c>
      <c r="B532" s="41" t="str">
        <v>農家</v>
      </c>
      <c r="C532" s="41" t="str">
        <v>季節の果物</v>
      </c>
      <c r="D532" s="43" t="n">
        <v>22</v>
      </c>
      <c r="E532" s="43" t="n">
        <v>4000</v>
      </c>
      <c r="F532" s="43" t="n">
        <f>ROUND(D532*E532,0)</f>
        <v>88000</v>
      </c>
      <c r="G532" s="43" t="n">
        <v>52800</v>
      </c>
      <c r="H532" s="43" t="n">
        <f>F532-G532</f>
        <v>35200</v>
      </c>
      <c r="I532" s="41" t="str">
        <v>架空サンプル</v>
      </c>
    </row>
    <row r="533" ht="25" customHeight="1">
      <c r="A533" s="42" t="d">
        <v>2026-11-05T00:00:00.000Z</v>
      </c>
      <c r="B533" s="41" t="str">
        <v>木工所</v>
      </c>
      <c r="C533" s="41" t="str">
        <v>テーブル</v>
      </c>
      <c r="D533" s="43" t="n">
        <v>14</v>
      </c>
      <c r="E533" s="43" t="n">
        <v>50000</v>
      </c>
      <c r="F533" s="43" t="n">
        <f>ROUND(D533*E533,0)</f>
        <v>700000</v>
      </c>
      <c r="G533" s="43" t="n">
        <v>378000</v>
      </c>
      <c r="H533" s="43" t="n">
        <f>F533-G533</f>
        <v>322000</v>
      </c>
      <c r="I533" s="41" t="str">
        <v>架空サンプル</v>
      </c>
    </row>
    <row r="534" ht="25" customHeight="1">
      <c r="A534" s="42" t="d">
        <v>2026-11-15T00:00:00.000Z</v>
      </c>
      <c r="B534" s="41" t="str">
        <v>木工所</v>
      </c>
      <c r="C534" s="41" t="str">
        <v>テーブル</v>
      </c>
      <c r="D534" s="43" t="n">
        <v>2</v>
      </c>
      <c r="E534" s="43" t="n">
        <v>50000</v>
      </c>
      <c r="F534" s="43" t="n">
        <f>ROUND(D534*E534,0)</f>
        <v>100000</v>
      </c>
      <c r="G534" s="43" t="n">
        <v>54000</v>
      </c>
      <c r="H534" s="43" t="n">
        <f>F534-G534</f>
        <v>46000</v>
      </c>
      <c r="I534" s="41" t="str">
        <v>架空サンプル</v>
      </c>
    </row>
    <row r="535" ht="25" customHeight="1">
      <c r="A535" s="42" t="d">
        <v>2026-11-25T00:00:00.000Z</v>
      </c>
      <c r="B535" s="41" t="str">
        <v>木工所</v>
      </c>
      <c r="C535" s="41" t="str">
        <v>テーブル</v>
      </c>
      <c r="D535" s="43" t="n">
        <v>7</v>
      </c>
      <c r="E535" s="43" t="n">
        <v>50000</v>
      </c>
      <c r="F535" s="43" t="n">
        <f>ROUND(D535*E535,0)</f>
        <v>350000</v>
      </c>
      <c r="G535" s="43" t="n">
        <v>189000</v>
      </c>
      <c r="H535" s="43" t="n">
        <f>F535-G535</f>
        <v>161000</v>
      </c>
      <c r="I535" s="41" t="str">
        <v>架空サンプル</v>
      </c>
    </row>
    <row r="536" ht="25" customHeight="1">
      <c r="A536" s="42" t="d">
        <v>2026-11-05T00:00:00.000Z</v>
      </c>
      <c r="B536" s="41" t="str">
        <v>木工所</v>
      </c>
      <c r="C536" s="41" t="str">
        <v>椅子</v>
      </c>
      <c r="D536" s="43" t="n">
        <v>17</v>
      </c>
      <c r="E536" s="43" t="n">
        <v>15000</v>
      </c>
      <c r="F536" s="43" t="n">
        <f>ROUND(D536*E536,0)</f>
        <v>255000</v>
      </c>
      <c r="G536" s="43" t="n">
        <v>153000</v>
      </c>
      <c r="H536" s="43" t="n">
        <f>F536-G536</f>
        <v>102000</v>
      </c>
      <c r="I536" s="41" t="str">
        <v>架空サンプル</v>
      </c>
    </row>
    <row r="537" ht="25" customHeight="1">
      <c r="A537" s="42" t="d">
        <v>2026-11-15T00:00:00.000Z</v>
      </c>
      <c r="B537" s="41" t="str">
        <v>木工所</v>
      </c>
      <c r="C537" s="41" t="str">
        <v>椅子</v>
      </c>
      <c r="D537" s="43" t="n">
        <v>5</v>
      </c>
      <c r="E537" s="43" t="n">
        <v>15000</v>
      </c>
      <c r="F537" s="43" t="n">
        <f>ROUND(D537*E537,0)</f>
        <v>75000</v>
      </c>
      <c r="G537" s="43" t="n">
        <v>45000</v>
      </c>
      <c r="H537" s="43" t="n">
        <f>F537-G537</f>
        <v>30000</v>
      </c>
      <c r="I537" s="41" t="str">
        <v>架空サンプル</v>
      </c>
    </row>
    <row r="538" ht="25" customHeight="1">
      <c r="A538" s="42" t="d">
        <v>2026-11-25T00:00:00.000Z</v>
      </c>
      <c r="B538" s="41" t="str">
        <v>木工所</v>
      </c>
      <c r="C538" s="41" t="str">
        <v>椅子</v>
      </c>
      <c r="D538" s="43" t="n">
        <v>10</v>
      </c>
      <c r="E538" s="43" t="n">
        <v>15000</v>
      </c>
      <c r="F538" s="43" t="n">
        <f>ROUND(D538*E538,0)</f>
        <v>150000</v>
      </c>
      <c r="G538" s="43" t="n">
        <v>90000</v>
      </c>
      <c r="H538" s="43" t="n">
        <f>F538-G538</f>
        <v>60000</v>
      </c>
      <c r="I538" s="41" t="str">
        <v>架空サンプル</v>
      </c>
    </row>
    <row r="539" ht="25" customHeight="1">
      <c r="A539" s="42" t="d">
        <v>2026-11-05T00:00:00.000Z</v>
      </c>
      <c r="B539" s="41" t="str">
        <v>木工所</v>
      </c>
      <c r="C539" s="41" t="str">
        <v>収納棚</v>
      </c>
      <c r="D539" s="43" t="n">
        <v>3</v>
      </c>
      <c r="E539" s="43" t="n">
        <v>35000</v>
      </c>
      <c r="F539" s="43" t="n">
        <f>ROUND(D539*E539,0)</f>
        <v>105000</v>
      </c>
      <c r="G539" s="43" t="n">
        <v>69300</v>
      </c>
      <c r="H539" s="43" t="n">
        <f>F539-G539</f>
        <v>35700</v>
      </c>
      <c r="I539" s="41" t="str">
        <v>架空サンプル</v>
      </c>
    </row>
    <row r="540" ht="25" customHeight="1">
      <c r="A540" s="42" t="d">
        <v>2026-11-15T00:00:00.000Z</v>
      </c>
      <c r="B540" s="41" t="str">
        <v>木工所</v>
      </c>
      <c r="C540" s="41" t="str">
        <v>収納棚</v>
      </c>
      <c r="D540" s="43" t="n">
        <v>8</v>
      </c>
      <c r="E540" s="43" t="n">
        <v>35000</v>
      </c>
      <c r="F540" s="43" t="n">
        <f>ROUND(D540*E540,0)</f>
        <v>280000</v>
      </c>
      <c r="G540" s="43" t="n">
        <v>184800</v>
      </c>
      <c r="H540" s="43" t="n">
        <f>F540-G540</f>
        <v>95200</v>
      </c>
      <c r="I540" s="41" t="str">
        <v>架空サンプル</v>
      </c>
    </row>
    <row r="541" ht="25" customHeight="1">
      <c r="A541" s="42" t="d">
        <v>2026-11-25T00:00:00.000Z</v>
      </c>
      <c r="B541" s="41" t="str">
        <v>木工所</v>
      </c>
      <c r="C541" s="41" t="str">
        <v>収納棚</v>
      </c>
      <c r="D541" s="43" t="n">
        <v>13</v>
      </c>
      <c r="E541" s="43" t="n">
        <v>35000</v>
      </c>
      <c r="F541" s="43" t="n">
        <f>ROUND(D541*E541,0)</f>
        <v>455000</v>
      </c>
      <c r="G541" s="43" t="n">
        <v>300300</v>
      </c>
      <c r="H541" s="43" t="n">
        <f>F541-G541</f>
        <v>154700</v>
      </c>
      <c r="I541" s="41" t="str">
        <v>架空サンプル</v>
      </c>
    </row>
    <row r="542" ht="25" customHeight="1">
      <c r="A542" s="42" t="d">
        <v>2026-11-05T00:00:00.000Z</v>
      </c>
      <c r="B542" s="41" t="str">
        <v>木工所</v>
      </c>
      <c r="C542" s="41" t="str">
        <v>木製小物</v>
      </c>
      <c r="D542" s="43" t="n">
        <v>6</v>
      </c>
      <c r="E542" s="43" t="n">
        <v>2500</v>
      </c>
      <c r="F542" s="43" t="n">
        <f>ROUND(D542*E542,0)</f>
        <v>15000</v>
      </c>
      <c r="G542" s="43" t="n">
        <v>10800</v>
      </c>
      <c r="H542" s="43" t="n">
        <f>F542-G542</f>
        <v>4200</v>
      </c>
      <c r="I542" s="41" t="str">
        <v>架空サンプル</v>
      </c>
    </row>
    <row r="543" ht="25" customHeight="1">
      <c r="A543" s="42" t="d">
        <v>2026-11-15T00:00:00.000Z</v>
      </c>
      <c r="B543" s="41" t="str">
        <v>木工所</v>
      </c>
      <c r="C543" s="41" t="str">
        <v>木製小物</v>
      </c>
      <c r="D543" s="43" t="n">
        <v>11</v>
      </c>
      <c r="E543" s="43" t="n">
        <v>2500</v>
      </c>
      <c r="F543" s="43" t="n">
        <f>ROUND(D543*E543,0)</f>
        <v>27500</v>
      </c>
      <c r="G543" s="43" t="n">
        <v>19800</v>
      </c>
      <c r="H543" s="43" t="n">
        <f>F543-G543</f>
        <v>7700</v>
      </c>
      <c r="I543" s="41" t="str">
        <v>架空サンプル</v>
      </c>
    </row>
    <row r="544" ht="25" customHeight="1">
      <c r="A544" s="42" t="d">
        <v>2026-11-25T00:00:00.000Z</v>
      </c>
      <c r="B544" s="41" t="str">
        <v>木工所</v>
      </c>
      <c r="C544" s="41" t="str">
        <v>木製小物</v>
      </c>
      <c r="D544" s="43" t="n">
        <v>16</v>
      </c>
      <c r="E544" s="43" t="n">
        <v>2500</v>
      </c>
      <c r="F544" s="43" t="n">
        <f>ROUND(D544*E544,0)</f>
        <v>40000</v>
      </c>
      <c r="G544" s="43" t="n">
        <v>28800</v>
      </c>
      <c r="H544" s="43" t="n">
        <f>F544-G544</f>
        <v>11200</v>
      </c>
      <c r="I544" s="41" t="str">
        <v>架空サンプル</v>
      </c>
    </row>
    <row r="545" ht="25" customHeight="1">
      <c r="A545" s="42" t="d">
        <v>2026-11-05T00:00:00.000Z</v>
      </c>
      <c r="B545" s="41" t="str">
        <v>農家</v>
      </c>
      <c r="C545" s="41" t="str">
        <v>野菜5kg箱</v>
      </c>
      <c r="D545" s="43" t="n">
        <v>27</v>
      </c>
      <c r="E545" s="43" t="n">
        <v>2000</v>
      </c>
      <c r="F545" s="43" t="n">
        <f>ROUND(D545*E545,0)</f>
        <v>54000</v>
      </c>
      <c r="G545" s="43" t="n">
        <v>25920</v>
      </c>
      <c r="H545" s="43" t="n">
        <f>F545-G545</f>
        <v>28080</v>
      </c>
      <c r="I545" s="41" t="str">
        <v>架空サンプル</v>
      </c>
    </row>
    <row r="546" ht="25" customHeight="1">
      <c r="A546" s="42" t="d">
        <v>2026-11-15T00:00:00.000Z</v>
      </c>
      <c r="B546" s="41" t="str">
        <v>農家</v>
      </c>
      <c r="C546" s="41" t="str">
        <v>野菜5kg箱</v>
      </c>
      <c r="D546" s="43" t="n">
        <v>32</v>
      </c>
      <c r="E546" s="43" t="n">
        <v>2000</v>
      </c>
      <c r="F546" s="43" t="n">
        <f>ROUND(D546*E546,0)</f>
        <v>64000</v>
      </c>
      <c r="G546" s="43" t="n">
        <v>30720</v>
      </c>
      <c r="H546" s="43" t="n">
        <f>F546-G546</f>
        <v>33280</v>
      </c>
      <c r="I546" s="41" t="str">
        <v>架空サンプル</v>
      </c>
    </row>
    <row r="547" ht="25" customHeight="1">
      <c r="A547" s="42" t="d">
        <v>2026-11-25T00:00:00.000Z</v>
      </c>
      <c r="B547" s="41" t="str">
        <v>農家</v>
      </c>
      <c r="C547" s="41" t="str">
        <v>野菜5kg箱</v>
      </c>
      <c r="D547" s="43" t="n">
        <v>20</v>
      </c>
      <c r="E547" s="43" t="n">
        <v>2000</v>
      </c>
      <c r="F547" s="43" t="n">
        <f>ROUND(D547*E547,0)</f>
        <v>40000</v>
      </c>
      <c r="G547" s="43" t="n">
        <v>19200</v>
      </c>
      <c r="H547" s="43" t="n">
        <f>F547-G547</f>
        <v>20800</v>
      </c>
      <c r="I547" s="41" t="str">
        <v>架空サンプル</v>
      </c>
    </row>
    <row r="548" ht="25" customHeight="1">
      <c r="A548" s="42" t="d">
        <v>2026-11-05T00:00:00.000Z</v>
      </c>
      <c r="B548" s="41" t="str">
        <v>農家</v>
      </c>
      <c r="C548" s="41" t="str">
        <v>トマト箱</v>
      </c>
      <c r="D548" s="43" t="n">
        <v>30</v>
      </c>
      <c r="E548" s="43" t="n">
        <v>1800</v>
      </c>
      <c r="F548" s="43" t="n">
        <f>ROUND(D548*E548,0)</f>
        <v>54000</v>
      </c>
      <c r="G548" s="43" t="n">
        <v>29160</v>
      </c>
      <c r="H548" s="43" t="n">
        <f>F548-G548</f>
        <v>24840</v>
      </c>
      <c r="I548" s="41" t="str">
        <v>架空サンプル</v>
      </c>
    </row>
    <row r="549" ht="25" customHeight="1">
      <c r="A549" s="42" t="d">
        <v>2026-11-15T00:00:00.000Z</v>
      </c>
      <c r="B549" s="41" t="str">
        <v>農家</v>
      </c>
      <c r="C549" s="41" t="str">
        <v>トマト箱</v>
      </c>
      <c r="D549" s="43" t="n">
        <v>35</v>
      </c>
      <c r="E549" s="43" t="n">
        <v>1800</v>
      </c>
      <c r="F549" s="43" t="n">
        <f>ROUND(D549*E549,0)</f>
        <v>63000</v>
      </c>
      <c r="G549" s="43" t="n">
        <v>34020</v>
      </c>
      <c r="H549" s="43" t="n">
        <f>F549-G549</f>
        <v>28980</v>
      </c>
      <c r="I549" s="41" t="str">
        <v>架空サンプル</v>
      </c>
    </row>
    <row r="550" ht="25" customHeight="1">
      <c r="A550" s="42" t="d">
        <v>2026-11-25T00:00:00.000Z</v>
      </c>
      <c r="B550" s="41" t="str">
        <v>農家</v>
      </c>
      <c r="C550" s="41" t="str">
        <v>トマト箱</v>
      </c>
      <c r="D550" s="43" t="n">
        <v>23</v>
      </c>
      <c r="E550" s="43" t="n">
        <v>1800</v>
      </c>
      <c r="F550" s="43" t="n">
        <f>ROUND(D550*E550,0)</f>
        <v>41400</v>
      </c>
      <c r="G550" s="43" t="n">
        <v>22356</v>
      </c>
      <c r="H550" s="43" t="n">
        <f>F550-G550</f>
        <v>19044</v>
      </c>
      <c r="I550" s="41" t="str">
        <v>架空サンプル</v>
      </c>
    </row>
    <row r="551" ht="25" customHeight="1">
      <c r="A551" s="42" t="d">
        <v>2026-11-05T00:00:00.000Z</v>
      </c>
      <c r="B551" s="41" t="str">
        <v>農家</v>
      </c>
      <c r="C551" s="41" t="str">
        <v>米5kg</v>
      </c>
      <c r="D551" s="43" t="n">
        <v>33</v>
      </c>
      <c r="E551" s="43" t="n">
        <v>3200</v>
      </c>
      <c r="F551" s="43" t="n">
        <f>ROUND(D551*E551,0)</f>
        <v>105600</v>
      </c>
      <c r="G551" s="43" t="n">
        <v>63360</v>
      </c>
      <c r="H551" s="43" t="n">
        <f>F551-G551</f>
        <v>42240</v>
      </c>
      <c r="I551" s="41" t="str">
        <v>架空サンプル</v>
      </c>
    </row>
    <row r="552" ht="25" customHeight="1">
      <c r="A552" s="42" t="d">
        <v>2026-11-15T00:00:00.000Z</v>
      </c>
      <c r="B552" s="41" t="str">
        <v>農家</v>
      </c>
      <c r="C552" s="41" t="str">
        <v>米5kg</v>
      </c>
      <c r="D552" s="43" t="n">
        <v>21</v>
      </c>
      <c r="E552" s="43" t="n">
        <v>3200</v>
      </c>
      <c r="F552" s="43" t="n">
        <f>ROUND(D552*E552,0)</f>
        <v>67200</v>
      </c>
      <c r="G552" s="43" t="n">
        <v>40320</v>
      </c>
      <c r="H552" s="43" t="n">
        <f>F552-G552</f>
        <v>26880</v>
      </c>
      <c r="I552" s="41" t="str">
        <v>架空サンプル</v>
      </c>
    </row>
    <row r="553" ht="25" customHeight="1">
      <c r="A553" s="42" t="d">
        <v>2026-11-25T00:00:00.000Z</v>
      </c>
      <c r="B553" s="41" t="str">
        <v>農家</v>
      </c>
      <c r="C553" s="41" t="str">
        <v>米5kg</v>
      </c>
      <c r="D553" s="43" t="n">
        <v>26</v>
      </c>
      <c r="E553" s="43" t="n">
        <v>3200</v>
      </c>
      <c r="F553" s="43" t="n">
        <f>ROUND(D553*E553,0)</f>
        <v>83200</v>
      </c>
      <c r="G553" s="43" t="n">
        <v>49920</v>
      </c>
      <c r="H553" s="43" t="n">
        <f>F553-G553</f>
        <v>33280</v>
      </c>
      <c r="I553" s="41" t="str">
        <v>架空サンプル</v>
      </c>
    </row>
    <row r="554" ht="25" customHeight="1">
      <c r="A554" s="42" t="d">
        <v>2026-11-05T00:00:00.000Z</v>
      </c>
      <c r="B554" s="41" t="str">
        <v>農家</v>
      </c>
      <c r="C554" s="41" t="str">
        <v>季節の果物</v>
      </c>
      <c r="D554" s="43" t="n">
        <v>36</v>
      </c>
      <c r="E554" s="43" t="n">
        <v>4000</v>
      </c>
      <c r="F554" s="43" t="n">
        <f>ROUND(D554*E554,0)</f>
        <v>144000</v>
      </c>
      <c r="G554" s="43" t="n">
        <v>95040</v>
      </c>
      <c r="H554" s="43" t="n">
        <f>F554-G554</f>
        <v>48960</v>
      </c>
      <c r="I554" s="41" t="str">
        <v>架空サンプル</v>
      </c>
    </row>
    <row r="555" ht="25" customHeight="1">
      <c r="A555" s="42" t="d">
        <v>2026-11-15T00:00:00.000Z</v>
      </c>
      <c r="B555" s="41" t="str">
        <v>農家</v>
      </c>
      <c r="C555" s="41" t="str">
        <v>季節の果物</v>
      </c>
      <c r="D555" s="43" t="n">
        <v>24</v>
      </c>
      <c r="E555" s="43" t="n">
        <v>4000</v>
      </c>
      <c r="F555" s="43" t="n">
        <f>ROUND(D555*E555,0)</f>
        <v>96000</v>
      </c>
      <c r="G555" s="43" t="n">
        <v>63360</v>
      </c>
      <c r="H555" s="43" t="n">
        <f>F555-G555</f>
        <v>32640</v>
      </c>
      <c r="I555" s="41" t="str">
        <v>架空サンプル</v>
      </c>
    </row>
    <row r="556" ht="25" customHeight="1">
      <c r="A556" s="42" t="d">
        <v>2026-11-25T00:00:00.000Z</v>
      </c>
      <c r="B556" s="41" t="str">
        <v>農家</v>
      </c>
      <c r="C556" s="41" t="str">
        <v>季節の果物</v>
      </c>
      <c r="D556" s="43" t="n">
        <v>29</v>
      </c>
      <c r="E556" s="43" t="n">
        <v>4000</v>
      </c>
      <c r="F556" s="43" t="n">
        <f>ROUND(D556*E556,0)</f>
        <v>116000</v>
      </c>
      <c r="G556" s="43" t="n">
        <v>76560</v>
      </c>
      <c r="H556" s="43" t="n">
        <f>F556-G556</f>
        <v>39440</v>
      </c>
      <c r="I556" s="41" t="str">
        <v>架空サンプル</v>
      </c>
    </row>
    <row r="557" ht="25" customHeight="1">
      <c r="A557" s="42" t="d">
        <v>2026-12-05T00:00:00.000Z</v>
      </c>
      <c r="B557" s="41" t="str">
        <v>木工所</v>
      </c>
      <c r="C557" s="41" t="str">
        <v>テーブル</v>
      </c>
      <c r="D557" s="43" t="n">
        <v>4</v>
      </c>
      <c r="E557" s="43" t="n">
        <v>50000</v>
      </c>
      <c r="F557" s="43" t="n">
        <f>ROUND(D557*E557,0)</f>
        <v>200000</v>
      </c>
      <c r="G557" s="43" t="n">
        <v>120000</v>
      </c>
      <c r="H557" s="43" t="n">
        <f>F557-G557</f>
        <v>80000</v>
      </c>
      <c r="I557" s="41" t="str">
        <v>架空サンプル</v>
      </c>
    </row>
    <row r="558" ht="25" customHeight="1">
      <c r="A558" s="42" t="d">
        <v>2026-12-15T00:00:00.000Z</v>
      </c>
      <c r="B558" s="41" t="str">
        <v>木工所</v>
      </c>
      <c r="C558" s="41" t="str">
        <v>テーブル</v>
      </c>
      <c r="D558" s="43" t="n">
        <v>9</v>
      </c>
      <c r="E558" s="43" t="n">
        <v>50000</v>
      </c>
      <c r="F558" s="43" t="n">
        <f>ROUND(D558*E558,0)</f>
        <v>450000</v>
      </c>
      <c r="G558" s="43" t="n">
        <v>270000</v>
      </c>
      <c r="H558" s="43" t="n">
        <f>F558-G558</f>
        <v>180000</v>
      </c>
      <c r="I558" s="41" t="str">
        <v>架空サンプル</v>
      </c>
    </row>
    <row r="559" ht="25" customHeight="1">
      <c r="A559" s="42" t="d">
        <v>2026-12-25T00:00:00.000Z</v>
      </c>
      <c r="B559" s="41" t="str">
        <v>木工所</v>
      </c>
      <c r="C559" s="41" t="str">
        <v>テーブル</v>
      </c>
      <c r="D559" s="43" t="n">
        <v>14</v>
      </c>
      <c r="E559" s="43" t="n">
        <v>50000</v>
      </c>
      <c r="F559" s="43" t="n">
        <f>ROUND(D559*E559,0)</f>
        <v>700000</v>
      </c>
      <c r="G559" s="43" t="n">
        <v>420000</v>
      </c>
      <c r="H559" s="43" t="n">
        <f>F559-G559</f>
        <v>280000</v>
      </c>
      <c r="I559" s="41" t="str">
        <v>架空サンプル</v>
      </c>
    </row>
    <row r="560" ht="25" customHeight="1">
      <c r="A560" s="42" t="d">
        <v>2026-12-05T00:00:00.000Z</v>
      </c>
      <c r="B560" s="41" t="str">
        <v>木工所</v>
      </c>
      <c r="C560" s="41" t="str">
        <v>椅子</v>
      </c>
      <c r="D560" s="43" t="n">
        <v>7</v>
      </c>
      <c r="E560" s="43" t="n">
        <v>15000</v>
      </c>
      <c r="F560" s="43" t="n">
        <f>ROUND(D560*E560,0)</f>
        <v>105000</v>
      </c>
      <c r="G560" s="43" t="n">
        <v>69300</v>
      </c>
      <c r="H560" s="43" t="n">
        <f>F560-G560</f>
        <v>35700</v>
      </c>
      <c r="I560" s="41" t="str">
        <v>架空サンプル</v>
      </c>
    </row>
    <row r="561" ht="25" customHeight="1">
      <c r="A561" s="42" t="d">
        <v>2026-12-15T00:00:00.000Z</v>
      </c>
      <c r="B561" s="41" t="str">
        <v>木工所</v>
      </c>
      <c r="C561" s="41" t="str">
        <v>椅子</v>
      </c>
      <c r="D561" s="43" t="n">
        <v>12</v>
      </c>
      <c r="E561" s="43" t="n">
        <v>15000</v>
      </c>
      <c r="F561" s="43" t="n">
        <f>ROUND(D561*E561,0)</f>
        <v>180000</v>
      </c>
      <c r="G561" s="43" t="n">
        <v>118800</v>
      </c>
      <c r="H561" s="43" t="n">
        <f>F561-G561</f>
        <v>61200</v>
      </c>
      <c r="I561" s="41" t="str">
        <v>架空サンプル</v>
      </c>
    </row>
    <row r="562" ht="25" customHeight="1">
      <c r="A562" s="42" t="d">
        <v>2026-12-25T00:00:00.000Z</v>
      </c>
      <c r="B562" s="41" t="str">
        <v>木工所</v>
      </c>
      <c r="C562" s="41" t="str">
        <v>椅子</v>
      </c>
      <c r="D562" s="43" t="n">
        <v>17</v>
      </c>
      <c r="E562" s="43" t="n">
        <v>15000</v>
      </c>
      <c r="F562" s="43" t="n">
        <f>ROUND(D562*E562,0)</f>
        <v>255000</v>
      </c>
      <c r="G562" s="43" t="n">
        <v>168300</v>
      </c>
      <c r="H562" s="43" t="n">
        <f>F562-G562</f>
        <v>86700</v>
      </c>
      <c r="I562" s="41" t="str">
        <v>架空サンプル</v>
      </c>
    </row>
    <row r="563" ht="25" customHeight="1">
      <c r="A563" s="42" t="d">
        <v>2026-12-05T00:00:00.000Z</v>
      </c>
      <c r="B563" s="41" t="str">
        <v>木工所</v>
      </c>
      <c r="C563" s="41" t="str">
        <v>収納棚</v>
      </c>
      <c r="D563" s="43" t="n">
        <v>10</v>
      </c>
      <c r="E563" s="43" t="n">
        <v>35000</v>
      </c>
      <c r="F563" s="43" t="n">
        <f>ROUND(D563*E563,0)</f>
        <v>350000</v>
      </c>
      <c r="G563" s="43" t="n">
        <v>252000</v>
      </c>
      <c r="H563" s="43" t="n">
        <f>F563-G563</f>
        <v>98000</v>
      </c>
      <c r="I563" s="41" t="str">
        <v>架空サンプル</v>
      </c>
    </row>
    <row r="564" ht="25" customHeight="1">
      <c r="A564" s="42" t="d">
        <v>2026-12-15T00:00:00.000Z</v>
      </c>
      <c r="B564" s="41" t="str">
        <v>木工所</v>
      </c>
      <c r="C564" s="41" t="str">
        <v>収納棚</v>
      </c>
      <c r="D564" s="43" t="n">
        <v>15</v>
      </c>
      <c r="E564" s="43" t="n">
        <v>35000</v>
      </c>
      <c r="F564" s="43" t="n">
        <f>ROUND(D564*E564,0)</f>
        <v>525000</v>
      </c>
      <c r="G564" s="43" t="n">
        <v>378000</v>
      </c>
      <c r="H564" s="43" t="n">
        <f>F564-G564</f>
        <v>147000</v>
      </c>
      <c r="I564" s="41" t="str">
        <v>架空サンプル</v>
      </c>
    </row>
    <row r="565" ht="25" customHeight="1">
      <c r="A565" s="42" t="d">
        <v>2026-12-25T00:00:00.000Z</v>
      </c>
      <c r="B565" s="41" t="str">
        <v>木工所</v>
      </c>
      <c r="C565" s="41" t="str">
        <v>収納棚</v>
      </c>
      <c r="D565" s="43" t="n">
        <v>3</v>
      </c>
      <c r="E565" s="43" t="n">
        <v>35000</v>
      </c>
      <c r="F565" s="43" t="n">
        <f>ROUND(D565*E565,0)</f>
        <v>105000</v>
      </c>
      <c r="G565" s="43" t="n">
        <v>75600</v>
      </c>
      <c r="H565" s="43" t="n">
        <f>F565-G565</f>
        <v>29400</v>
      </c>
      <c r="I565" s="41" t="str">
        <v>架空サンプル</v>
      </c>
    </row>
    <row r="566" ht="25" customHeight="1">
      <c r="A566" s="42" t="d">
        <v>2026-12-05T00:00:00.000Z</v>
      </c>
      <c r="B566" s="41" t="str">
        <v>木工所</v>
      </c>
      <c r="C566" s="41" t="str">
        <v>木製小物</v>
      </c>
      <c r="D566" s="43" t="n">
        <v>13</v>
      </c>
      <c r="E566" s="43" t="n">
        <v>2500</v>
      </c>
      <c r="F566" s="43" t="n">
        <f>ROUND(D566*E566,0)</f>
        <v>32500</v>
      </c>
      <c r="G566" s="43" t="n">
        <v>15600</v>
      </c>
      <c r="H566" s="43" t="n">
        <f>F566-G566</f>
        <v>16900</v>
      </c>
      <c r="I566" s="41" t="str">
        <v>架空サンプル</v>
      </c>
    </row>
    <row r="567" ht="25" customHeight="1">
      <c r="A567" s="42" t="d">
        <v>2026-12-15T00:00:00.000Z</v>
      </c>
      <c r="B567" s="41" t="str">
        <v>木工所</v>
      </c>
      <c r="C567" s="41" t="str">
        <v>木製小物</v>
      </c>
      <c r="D567" s="43" t="n">
        <v>18</v>
      </c>
      <c r="E567" s="43" t="n">
        <v>2500</v>
      </c>
      <c r="F567" s="43" t="n">
        <f>ROUND(D567*E567,0)</f>
        <v>45000</v>
      </c>
      <c r="G567" s="43" t="n">
        <v>21600</v>
      </c>
      <c r="H567" s="43" t="n">
        <f>F567-G567</f>
        <v>23400</v>
      </c>
      <c r="I567" s="41" t="str">
        <v>架空サンプル</v>
      </c>
    </row>
    <row r="568" ht="25" customHeight="1">
      <c r="A568" s="42" t="d">
        <v>2026-12-25T00:00:00.000Z</v>
      </c>
      <c r="B568" s="41" t="str">
        <v>木工所</v>
      </c>
      <c r="C568" s="41" t="str">
        <v>木製小物</v>
      </c>
      <c r="D568" s="43" t="n">
        <v>6</v>
      </c>
      <c r="E568" s="43" t="n">
        <v>2500</v>
      </c>
      <c r="F568" s="43" t="n">
        <f>ROUND(D568*E568,0)</f>
        <v>15000</v>
      </c>
      <c r="G568" s="43" t="n">
        <v>7200</v>
      </c>
      <c r="H568" s="43" t="n">
        <f>F568-G568</f>
        <v>7800</v>
      </c>
      <c r="I568" s="41" t="str">
        <v>架空サンプル</v>
      </c>
    </row>
    <row r="569" ht="25" customHeight="1">
      <c r="A569" s="42" t="d">
        <v>2026-12-05T00:00:00.000Z</v>
      </c>
      <c r="B569" s="41" t="str">
        <v>農家</v>
      </c>
      <c r="C569" s="41" t="str">
        <v>野菜5kg箱</v>
      </c>
      <c r="D569" s="43" t="n">
        <v>34</v>
      </c>
      <c r="E569" s="43" t="n">
        <v>2000</v>
      </c>
      <c r="F569" s="43" t="n">
        <f>ROUND(D569*E569,0)</f>
        <v>68000</v>
      </c>
      <c r="G569" s="43" t="n">
        <v>36720</v>
      </c>
      <c r="H569" s="43" t="n">
        <f>F569-G569</f>
        <v>31280</v>
      </c>
      <c r="I569" s="41" t="str">
        <v>架空サンプル</v>
      </c>
    </row>
    <row r="570" ht="25" customHeight="1">
      <c r="A570" s="42" t="d">
        <v>2026-12-15T00:00:00.000Z</v>
      </c>
      <c r="B570" s="41" t="str">
        <v>農家</v>
      </c>
      <c r="C570" s="41" t="str">
        <v>野菜5kg箱</v>
      </c>
      <c r="D570" s="43" t="n">
        <v>22</v>
      </c>
      <c r="E570" s="43" t="n">
        <v>2000</v>
      </c>
      <c r="F570" s="43" t="n">
        <f>ROUND(D570*E570,0)</f>
        <v>44000</v>
      </c>
      <c r="G570" s="43" t="n">
        <v>23760</v>
      </c>
      <c r="H570" s="43" t="n">
        <f>F570-G570</f>
        <v>20240</v>
      </c>
      <c r="I570" s="41" t="str">
        <v>架空サンプル</v>
      </c>
    </row>
    <row r="571" ht="25" customHeight="1">
      <c r="A571" s="42" t="d">
        <v>2026-12-25T00:00:00.000Z</v>
      </c>
      <c r="B571" s="41" t="str">
        <v>農家</v>
      </c>
      <c r="C571" s="41" t="str">
        <v>野菜5kg箱</v>
      </c>
      <c r="D571" s="43" t="n">
        <v>27</v>
      </c>
      <c r="E571" s="43" t="n">
        <v>2000</v>
      </c>
      <c r="F571" s="43" t="n">
        <f>ROUND(D571*E571,0)</f>
        <v>54000</v>
      </c>
      <c r="G571" s="43" t="n">
        <v>29160</v>
      </c>
      <c r="H571" s="43" t="n">
        <f>F571-G571</f>
        <v>24840</v>
      </c>
      <c r="I571" s="41" t="str">
        <v>架空サンプル</v>
      </c>
    </row>
    <row r="572" ht="25" customHeight="1">
      <c r="A572" s="42" t="d">
        <v>2026-12-05T00:00:00.000Z</v>
      </c>
      <c r="B572" s="41" t="str">
        <v>農家</v>
      </c>
      <c r="C572" s="41" t="str">
        <v>トマト箱</v>
      </c>
      <c r="D572" s="43" t="n">
        <v>20</v>
      </c>
      <c r="E572" s="43" t="n">
        <v>1800</v>
      </c>
      <c r="F572" s="43" t="n">
        <f>ROUND(D572*E572,0)</f>
        <v>36000</v>
      </c>
      <c r="G572" s="43" t="n">
        <v>21600</v>
      </c>
      <c r="H572" s="43" t="n">
        <f>F572-G572</f>
        <v>14400</v>
      </c>
      <c r="I572" s="41" t="str">
        <v>架空サンプル</v>
      </c>
    </row>
    <row r="573" ht="25" customHeight="1">
      <c r="A573" s="42" t="d">
        <v>2026-12-15T00:00:00.000Z</v>
      </c>
      <c r="B573" s="41" t="str">
        <v>農家</v>
      </c>
      <c r="C573" s="41" t="str">
        <v>トマト箱</v>
      </c>
      <c r="D573" s="43" t="n">
        <v>25</v>
      </c>
      <c r="E573" s="43" t="n">
        <v>1800</v>
      </c>
      <c r="F573" s="43" t="n">
        <f>ROUND(D573*E573,0)</f>
        <v>45000</v>
      </c>
      <c r="G573" s="43" t="n">
        <v>27000</v>
      </c>
      <c r="H573" s="43" t="n">
        <f>F573-G573</f>
        <v>18000</v>
      </c>
      <c r="I573" s="41" t="str">
        <v>架空サンプル</v>
      </c>
    </row>
    <row r="574" ht="25" customHeight="1">
      <c r="A574" s="42" t="d">
        <v>2026-12-25T00:00:00.000Z</v>
      </c>
      <c r="B574" s="41" t="str">
        <v>農家</v>
      </c>
      <c r="C574" s="41" t="str">
        <v>トマト箱</v>
      </c>
      <c r="D574" s="43" t="n">
        <v>30</v>
      </c>
      <c r="E574" s="43" t="n">
        <v>1800</v>
      </c>
      <c r="F574" s="43" t="n">
        <f>ROUND(D574*E574,0)</f>
        <v>54000</v>
      </c>
      <c r="G574" s="43" t="n">
        <v>32400</v>
      </c>
      <c r="H574" s="43" t="n">
        <f>F574-G574</f>
        <v>21600</v>
      </c>
      <c r="I574" s="41" t="str">
        <v>架空サンプル</v>
      </c>
    </row>
    <row r="575" ht="25" customHeight="1">
      <c r="A575" s="42" t="d">
        <v>2026-12-05T00:00:00.000Z</v>
      </c>
      <c r="B575" s="41" t="str">
        <v>農家</v>
      </c>
      <c r="C575" s="41" t="str">
        <v>米5kg</v>
      </c>
      <c r="D575" s="43" t="n">
        <v>23</v>
      </c>
      <c r="E575" s="43" t="n">
        <v>3200</v>
      </c>
      <c r="F575" s="43" t="n">
        <f>ROUND(D575*E575,0)</f>
        <v>73600</v>
      </c>
      <c r="G575" s="43" t="n">
        <v>48576</v>
      </c>
      <c r="H575" s="43" t="n">
        <f>F575-G575</f>
        <v>25024</v>
      </c>
      <c r="I575" s="41" t="str">
        <v>架空サンプル</v>
      </c>
    </row>
    <row r="576" ht="25" customHeight="1">
      <c r="A576" s="42" t="d">
        <v>2026-12-15T00:00:00.000Z</v>
      </c>
      <c r="B576" s="41" t="str">
        <v>農家</v>
      </c>
      <c r="C576" s="41" t="str">
        <v>米5kg</v>
      </c>
      <c r="D576" s="43" t="n">
        <v>28</v>
      </c>
      <c r="E576" s="43" t="n">
        <v>3200</v>
      </c>
      <c r="F576" s="43" t="n">
        <f>ROUND(D576*E576,0)</f>
        <v>89600</v>
      </c>
      <c r="G576" s="43" t="n">
        <v>59136</v>
      </c>
      <c r="H576" s="43" t="n">
        <f>F576-G576</f>
        <v>30464</v>
      </c>
      <c r="I576" s="41" t="str">
        <v>架空サンプル</v>
      </c>
    </row>
    <row r="577" ht="25" customHeight="1">
      <c r="A577" s="42" t="d">
        <v>2026-12-25T00:00:00.000Z</v>
      </c>
      <c r="B577" s="41" t="str">
        <v>農家</v>
      </c>
      <c r="C577" s="41" t="str">
        <v>米5kg</v>
      </c>
      <c r="D577" s="43" t="n">
        <v>33</v>
      </c>
      <c r="E577" s="43" t="n">
        <v>3200</v>
      </c>
      <c r="F577" s="43" t="n">
        <f>ROUND(D577*E577,0)</f>
        <v>105600</v>
      </c>
      <c r="G577" s="43" t="n">
        <v>69696</v>
      </c>
      <c r="H577" s="43" t="n">
        <f>F577-G577</f>
        <v>35904</v>
      </c>
      <c r="I577" s="41" t="str">
        <v>架空サンプル</v>
      </c>
    </row>
    <row r="578" ht="25" customHeight="1">
      <c r="A578" s="42" t="d">
        <v>2026-12-05T00:00:00.000Z</v>
      </c>
      <c r="B578" s="41" t="str">
        <v>農家</v>
      </c>
      <c r="C578" s="41" t="str">
        <v>季節の果物</v>
      </c>
      <c r="D578" s="43" t="n">
        <v>26</v>
      </c>
      <c r="E578" s="43" t="n">
        <v>4000</v>
      </c>
      <c r="F578" s="43" t="n">
        <f>ROUND(D578*E578,0)</f>
        <v>104000</v>
      </c>
      <c r="G578" s="43" t="n">
        <v>74880</v>
      </c>
      <c r="H578" s="43" t="n">
        <f>F578-G578</f>
        <v>29120</v>
      </c>
      <c r="I578" s="41" t="str">
        <v>架空サンプル</v>
      </c>
    </row>
    <row r="579" ht="25" customHeight="1">
      <c r="A579" s="42" t="d">
        <v>2026-12-15T00:00:00.000Z</v>
      </c>
      <c r="B579" s="41" t="str">
        <v>農家</v>
      </c>
      <c r="C579" s="41" t="str">
        <v>季節の果物</v>
      </c>
      <c r="D579" s="43" t="n">
        <v>31</v>
      </c>
      <c r="E579" s="43" t="n">
        <v>4000</v>
      </c>
      <c r="F579" s="43" t="n">
        <f>ROUND(D579*E579,0)</f>
        <v>124000</v>
      </c>
      <c r="G579" s="43" t="n">
        <v>89280</v>
      </c>
      <c r="H579" s="43" t="n">
        <f>F579-G579</f>
        <v>34720</v>
      </c>
      <c r="I579" s="41" t="str">
        <v>架空サンプル</v>
      </c>
    </row>
    <row r="580" ht="25" customHeight="1">
      <c r="A580" s="42" t="d">
        <v>2026-12-25T00:00:00.000Z</v>
      </c>
      <c r="B580" s="41" t="str">
        <v>農家</v>
      </c>
      <c r="C580" s="41" t="str">
        <v>季節の果物</v>
      </c>
      <c r="D580" s="43" t="n">
        <v>36</v>
      </c>
      <c r="E580" s="43" t="n">
        <v>4000</v>
      </c>
      <c r="F580" s="43" t="n">
        <f>ROUND(D580*E580,0)</f>
        <v>144000</v>
      </c>
      <c r="G580" s="43" t="n">
        <v>103680</v>
      </c>
      <c r="H580" s="43" t="n">
        <f>F580-G580</f>
        <v>40320</v>
      </c>
      <c r="I580" s="41" t="str">
        <v>架空サンプル</v>
      </c>
    </row>
    <row r="583" ht="32" customHeight="1">
      <c r="A583" s="45" t="str">
        <v>入力範囲は5〜580行（576件）。試作版では行数固定。実データの移行・追記範囲拡張は次版で対応。</v>
      </c>
      <c r="B583" s="45"/>
      <c r="C583" s="45"/>
      <c r="D583" s="45"/>
      <c r="E583" s="45"/>
      <c r="F583" s="45"/>
      <c r="G583" s="45"/>
      <c r="H583" s="45"/>
      <c r="I583" s="45"/>
    </row>
  </sheetData>
  <mergeCells>
    <mergeCell ref="A2:I2"/>
    <mergeCell ref="A583:I583"/>
  </mergeCells>
  <pageMargins left="0.7" right="0.7" top="0.75" bottom="0.75" header="0.3" footer="0.3"/>
  <tableParts count="1">
    <tablePart r:id="Rc3c7b4cdb03849a9"/>
  </tableParts>
</worksheet>
</file>