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6EA430D8-1C86-4B23-8751-ABB4C5CBAF12}" xr6:coauthVersionLast="47" xr6:coauthVersionMax="47" xr10:uidLastSave="{00000000-0000-0000-0000-000000000000}"/>
  <bookViews>
    <workbookView xWindow="-120" yWindow="-120" windowWidth="20640" windowHeight="11760" firstSheet="5" activeTab="9" xr2:uid="{00000000-000D-0000-FFFF-FFFF00000000}"/>
  </bookViews>
  <sheets>
    <sheet name="採算シミュレーション" sheetId="1" r:id="rId1"/>
    <sheet name="見積書" sheetId="2" r:id="rId2"/>
    <sheet name="見積入力" sheetId="3" r:id="rId3"/>
    <sheet name="原価(木工所)" sheetId="4" r:id="rId4"/>
    <sheet name="原価(農家)" sheetId="5" r:id="rId5"/>
    <sheet name="設定" sheetId="6" r:id="rId6"/>
    <sheet name="サンプル・入力例" sheetId="7" r:id="rId7"/>
    <sheet name="計算" sheetId="8" r:id="rId8"/>
    <sheet name="使い方・検証" sheetId="9" r:id="rId9"/>
    <sheet name="売上分析" sheetId="10" r:id="rId10"/>
    <sheet name="商品マスタ" sheetId="12" r:id="rId11"/>
    <sheet name="制御" sheetId="13" state="hidden" r:id="rId12"/>
    <sheet name="売上データ" sheetId="11" r:id="rId13"/>
  </sheets>
  <definedNames>
    <definedName name="IndustryList">設定!$A$6:$A$7</definedName>
    <definedName name="_xlnm.Print_Area" localSheetId="1">見積書!$A$1:$J$34</definedName>
    <definedName name="_xlnm.Print_Area" localSheetId="9">売上分析!$A$1:$Z$58</definedName>
    <definedName name="SL_業種">#N/A</definedName>
    <definedName name="SL_商品">#N/A</definedName>
    <definedName name="TL_日付">#N/A</definedName>
  </definedNames>
  <calcPr calcId="191029" forceFullCalc="1"/>
  <pivotCaches>
    <pivotCache cacheId="124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7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0" l="1"/>
  <c r="A52" i="10"/>
  <c r="A51" i="10"/>
  <c r="A50" i="10"/>
  <c r="A49" i="10"/>
  <c r="A48" i="10"/>
  <c r="A47" i="10"/>
  <c r="A46" i="10"/>
  <c r="J9" i="10"/>
  <c r="D9" i="10"/>
  <c r="A9" i="10"/>
  <c r="G9" i="10" s="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F580" i="11"/>
  <c r="H580" i="11" s="1"/>
  <c r="F579" i="11"/>
  <c r="H579" i="11" s="1"/>
  <c r="F578" i="11"/>
  <c r="H578" i="11" s="1"/>
  <c r="F577" i="11"/>
  <c r="H577" i="11" s="1"/>
  <c r="F576" i="11"/>
  <c r="H576" i="11" s="1"/>
  <c r="F575" i="11"/>
  <c r="H575" i="11" s="1"/>
  <c r="F574" i="11"/>
  <c r="H574" i="11" s="1"/>
  <c r="F573" i="11"/>
  <c r="H573" i="11" s="1"/>
  <c r="F572" i="11"/>
  <c r="H572" i="11" s="1"/>
  <c r="F571" i="11"/>
  <c r="H571" i="11" s="1"/>
  <c r="F570" i="11"/>
  <c r="H570" i="11" s="1"/>
  <c r="F569" i="11"/>
  <c r="H569" i="11" s="1"/>
  <c r="F568" i="11"/>
  <c r="H568" i="11" s="1"/>
  <c r="F567" i="11"/>
  <c r="H567" i="11" s="1"/>
  <c r="F566" i="11"/>
  <c r="H566" i="11" s="1"/>
  <c r="F565" i="11"/>
  <c r="H565" i="11" s="1"/>
  <c r="F564" i="11"/>
  <c r="H564" i="11" s="1"/>
  <c r="F563" i="11"/>
  <c r="H563" i="11" s="1"/>
  <c r="F562" i="11"/>
  <c r="H562" i="11" s="1"/>
  <c r="F561" i="11"/>
  <c r="H561" i="11" s="1"/>
  <c r="F560" i="11"/>
  <c r="H560" i="11" s="1"/>
  <c r="F559" i="11"/>
  <c r="H559" i="11" s="1"/>
  <c r="F558" i="11"/>
  <c r="H558" i="11" s="1"/>
  <c r="F557" i="11"/>
  <c r="H557" i="11" s="1"/>
  <c r="F556" i="11"/>
  <c r="H556" i="11" s="1"/>
  <c r="F555" i="11"/>
  <c r="H555" i="11" s="1"/>
  <c r="F554" i="11"/>
  <c r="H554" i="11" s="1"/>
  <c r="F553" i="11"/>
  <c r="H553" i="11" s="1"/>
  <c r="F552" i="11"/>
  <c r="H552" i="11" s="1"/>
  <c r="F551" i="11"/>
  <c r="H551" i="11" s="1"/>
  <c r="F550" i="11"/>
  <c r="H550" i="11" s="1"/>
  <c r="F549" i="11"/>
  <c r="H549" i="11" s="1"/>
  <c r="F548" i="11"/>
  <c r="H548" i="11" s="1"/>
  <c r="F547" i="11"/>
  <c r="H547" i="11" s="1"/>
  <c r="F546" i="11"/>
  <c r="H546" i="11" s="1"/>
  <c r="F545" i="11"/>
  <c r="H545" i="11" s="1"/>
  <c r="F544" i="11"/>
  <c r="H544" i="11" s="1"/>
  <c r="F543" i="11"/>
  <c r="H543" i="11" s="1"/>
  <c r="F542" i="11"/>
  <c r="H542" i="11" s="1"/>
  <c r="F541" i="11"/>
  <c r="H541" i="11" s="1"/>
  <c r="F540" i="11"/>
  <c r="H540" i="11" s="1"/>
  <c r="F539" i="11"/>
  <c r="H539" i="11" s="1"/>
  <c r="F538" i="11"/>
  <c r="H538" i="11" s="1"/>
  <c r="F537" i="11"/>
  <c r="H537" i="11" s="1"/>
  <c r="F536" i="11"/>
  <c r="H536" i="11" s="1"/>
  <c r="F535" i="11"/>
  <c r="H535" i="11" s="1"/>
  <c r="F534" i="11"/>
  <c r="H534" i="11" s="1"/>
  <c r="F533" i="11"/>
  <c r="H533" i="11" s="1"/>
  <c r="F532" i="11"/>
  <c r="H532" i="11" s="1"/>
  <c r="F531" i="11"/>
  <c r="H531" i="11" s="1"/>
  <c r="F530" i="11"/>
  <c r="H530" i="11" s="1"/>
  <c r="F529" i="11"/>
  <c r="H529" i="11" s="1"/>
  <c r="F528" i="11"/>
  <c r="H528" i="11" s="1"/>
  <c r="F527" i="11"/>
  <c r="H527" i="11" s="1"/>
  <c r="F526" i="11"/>
  <c r="H526" i="11" s="1"/>
  <c r="F525" i="11"/>
  <c r="H525" i="11" s="1"/>
  <c r="F524" i="11"/>
  <c r="H524" i="11" s="1"/>
  <c r="F523" i="11"/>
  <c r="H523" i="11" s="1"/>
  <c r="F522" i="11"/>
  <c r="H522" i="11" s="1"/>
  <c r="F521" i="11"/>
  <c r="H521" i="11" s="1"/>
  <c r="F520" i="11"/>
  <c r="H520" i="11" s="1"/>
  <c r="F519" i="11"/>
  <c r="H519" i="11" s="1"/>
  <c r="F518" i="11"/>
  <c r="H518" i="11" s="1"/>
  <c r="F517" i="11"/>
  <c r="H517" i="11" s="1"/>
  <c r="F516" i="11"/>
  <c r="H516" i="11" s="1"/>
  <c r="F515" i="11"/>
  <c r="H515" i="11" s="1"/>
  <c r="F514" i="11"/>
  <c r="H514" i="11" s="1"/>
  <c r="F513" i="11"/>
  <c r="H513" i="11" s="1"/>
  <c r="F512" i="11"/>
  <c r="H512" i="11" s="1"/>
  <c r="F511" i="11"/>
  <c r="H511" i="11" s="1"/>
  <c r="F510" i="11"/>
  <c r="H510" i="11" s="1"/>
  <c r="F509" i="11"/>
  <c r="H509" i="11" s="1"/>
  <c r="F508" i="11"/>
  <c r="H508" i="11" s="1"/>
  <c r="F507" i="11"/>
  <c r="H507" i="11" s="1"/>
  <c r="F506" i="11"/>
  <c r="H506" i="11" s="1"/>
  <c r="F505" i="11"/>
  <c r="H505" i="11" s="1"/>
  <c r="F504" i="11"/>
  <c r="H504" i="11" s="1"/>
  <c r="F503" i="11"/>
  <c r="H503" i="11" s="1"/>
  <c r="F502" i="11"/>
  <c r="H502" i="11" s="1"/>
  <c r="F501" i="11"/>
  <c r="H501" i="11" s="1"/>
  <c r="F500" i="11"/>
  <c r="H500" i="11" s="1"/>
  <c r="F499" i="11"/>
  <c r="H499" i="11" s="1"/>
  <c r="F498" i="11"/>
  <c r="H498" i="11" s="1"/>
  <c r="F497" i="11"/>
  <c r="H497" i="11" s="1"/>
  <c r="F496" i="11"/>
  <c r="H496" i="11" s="1"/>
  <c r="F495" i="11"/>
  <c r="H495" i="11" s="1"/>
  <c r="F494" i="11"/>
  <c r="H494" i="11" s="1"/>
  <c r="F493" i="11"/>
  <c r="H493" i="11" s="1"/>
  <c r="F492" i="11"/>
  <c r="H492" i="11" s="1"/>
  <c r="F491" i="11"/>
  <c r="H491" i="11" s="1"/>
  <c r="F490" i="11"/>
  <c r="H490" i="11" s="1"/>
  <c r="F489" i="11"/>
  <c r="H489" i="11" s="1"/>
  <c r="F488" i="11"/>
  <c r="H488" i="11" s="1"/>
  <c r="F487" i="11"/>
  <c r="H487" i="11" s="1"/>
  <c r="F486" i="11"/>
  <c r="H486" i="11" s="1"/>
  <c r="F485" i="11"/>
  <c r="H485" i="11" s="1"/>
  <c r="F484" i="11"/>
  <c r="H484" i="11" s="1"/>
  <c r="F483" i="11"/>
  <c r="H483" i="11" s="1"/>
  <c r="F482" i="11"/>
  <c r="H482" i="11" s="1"/>
  <c r="F481" i="11"/>
  <c r="H481" i="11" s="1"/>
  <c r="F480" i="11"/>
  <c r="H480" i="11" s="1"/>
  <c r="F479" i="11"/>
  <c r="H479" i="11" s="1"/>
  <c r="F478" i="11"/>
  <c r="H478" i="11" s="1"/>
  <c r="F477" i="11"/>
  <c r="H477" i="11" s="1"/>
  <c r="F476" i="11"/>
  <c r="H476" i="11" s="1"/>
  <c r="F475" i="11"/>
  <c r="H475" i="11" s="1"/>
  <c r="F474" i="11"/>
  <c r="H474" i="11" s="1"/>
  <c r="F473" i="11"/>
  <c r="H473" i="11" s="1"/>
  <c r="F472" i="11"/>
  <c r="H472" i="11" s="1"/>
  <c r="F471" i="11"/>
  <c r="H471" i="11" s="1"/>
  <c r="F470" i="11"/>
  <c r="H470" i="11" s="1"/>
  <c r="F469" i="11"/>
  <c r="H469" i="11" s="1"/>
  <c r="F468" i="11"/>
  <c r="H468" i="11" s="1"/>
  <c r="F467" i="11"/>
  <c r="H467" i="11" s="1"/>
  <c r="F466" i="11"/>
  <c r="H466" i="11" s="1"/>
  <c r="F465" i="11"/>
  <c r="H465" i="11" s="1"/>
  <c r="F464" i="11"/>
  <c r="H464" i="11" s="1"/>
  <c r="F463" i="11"/>
  <c r="H463" i="11" s="1"/>
  <c r="F462" i="11"/>
  <c r="H462" i="11" s="1"/>
  <c r="F461" i="11"/>
  <c r="H461" i="11" s="1"/>
  <c r="F460" i="11"/>
  <c r="H460" i="11" s="1"/>
  <c r="F459" i="11"/>
  <c r="H459" i="11" s="1"/>
  <c r="F458" i="11"/>
  <c r="H458" i="11" s="1"/>
  <c r="F457" i="11"/>
  <c r="H457" i="11" s="1"/>
  <c r="F456" i="11"/>
  <c r="H456" i="11" s="1"/>
  <c r="F455" i="11"/>
  <c r="H455" i="11" s="1"/>
  <c r="F454" i="11"/>
  <c r="H454" i="11" s="1"/>
  <c r="F453" i="11"/>
  <c r="H453" i="11" s="1"/>
  <c r="F452" i="11"/>
  <c r="H452" i="11" s="1"/>
  <c r="F451" i="11"/>
  <c r="H451" i="11" s="1"/>
  <c r="F450" i="11"/>
  <c r="H450" i="11" s="1"/>
  <c r="F449" i="11"/>
  <c r="H449" i="11" s="1"/>
  <c r="F448" i="11"/>
  <c r="H448" i="11" s="1"/>
  <c r="F447" i="11"/>
  <c r="H447" i="11" s="1"/>
  <c r="F446" i="11"/>
  <c r="H446" i="11" s="1"/>
  <c r="F445" i="11"/>
  <c r="H445" i="11" s="1"/>
  <c r="F444" i="11"/>
  <c r="H444" i="11" s="1"/>
  <c r="F443" i="11"/>
  <c r="H443" i="11" s="1"/>
  <c r="F442" i="11"/>
  <c r="H442" i="11" s="1"/>
  <c r="F441" i="11"/>
  <c r="H441" i="11" s="1"/>
  <c r="F440" i="11"/>
  <c r="H440" i="11" s="1"/>
  <c r="F439" i="11"/>
  <c r="H439" i="11" s="1"/>
  <c r="F438" i="11"/>
  <c r="H438" i="11" s="1"/>
  <c r="F437" i="11"/>
  <c r="H437" i="11" s="1"/>
  <c r="F436" i="11"/>
  <c r="H436" i="11" s="1"/>
  <c r="F435" i="11"/>
  <c r="H435" i="11" s="1"/>
  <c r="F434" i="11"/>
  <c r="H434" i="11" s="1"/>
  <c r="F433" i="11"/>
  <c r="H433" i="11" s="1"/>
  <c r="F432" i="11"/>
  <c r="H432" i="11" s="1"/>
  <c r="F431" i="11"/>
  <c r="H431" i="11" s="1"/>
  <c r="F430" i="11"/>
  <c r="H430" i="11" s="1"/>
  <c r="F429" i="11"/>
  <c r="H429" i="11" s="1"/>
  <c r="F428" i="11"/>
  <c r="H428" i="11" s="1"/>
  <c r="F427" i="11"/>
  <c r="H427" i="11" s="1"/>
  <c r="F426" i="11"/>
  <c r="H426" i="11" s="1"/>
  <c r="F425" i="11"/>
  <c r="H425" i="11" s="1"/>
  <c r="F424" i="11"/>
  <c r="H424" i="11" s="1"/>
  <c r="F423" i="11"/>
  <c r="H423" i="11" s="1"/>
  <c r="F422" i="11"/>
  <c r="H422" i="11" s="1"/>
  <c r="F421" i="11"/>
  <c r="H421" i="11" s="1"/>
  <c r="F420" i="11"/>
  <c r="H420" i="11" s="1"/>
  <c r="F419" i="11"/>
  <c r="H419" i="11" s="1"/>
  <c r="F418" i="11"/>
  <c r="H418" i="11" s="1"/>
  <c r="F417" i="11"/>
  <c r="H417" i="11" s="1"/>
  <c r="F416" i="11"/>
  <c r="H416" i="11" s="1"/>
  <c r="F415" i="11"/>
  <c r="H415" i="11" s="1"/>
  <c r="F414" i="11"/>
  <c r="H414" i="11" s="1"/>
  <c r="F413" i="11"/>
  <c r="H413" i="11" s="1"/>
  <c r="F412" i="11"/>
  <c r="H412" i="11" s="1"/>
  <c r="F411" i="11"/>
  <c r="H411" i="11" s="1"/>
  <c r="F410" i="11"/>
  <c r="H410" i="11" s="1"/>
  <c r="F409" i="11"/>
  <c r="H409" i="11" s="1"/>
  <c r="F408" i="11"/>
  <c r="H408" i="11" s="1"/>
  <c r="F407" i="11"/>
  <c r="H407" i="11" s="1"/>
  <c r="F406" i="11"/>
  <c r="H406" i="11" s="1"/>
  <c r="F405" i="11"/>
  <c r="H405" i="11" s="1"/>
  <c r="F404" i="11"/>
  <c r="H404" i="11" s="1"/>
  <c r="F403" i="11"/>
  <c r="H403" i="11" s="1"/>
  <c r="F402" i="11"/>
  <c r="H402" i="11" s="1"/>
  <c r="F401" i="11"/>
  <c r="H401" i="11" s="1"/>
  <c r="F400" i="11"/>
  <c r="H400" i="11" s="1"/>
  <c r="F399" i="11"/>
  <c r="H399" i="11" s="1"/>
  <c r="F398" i="11"/>
  <c r="H398" i="11" s="1"/>
  <c r="F397" i="11"/>
  <c r="H397" i="11" s="1"/>
  <c r="F396" i="11"/>
  <c r="H396" i="11" s="1"/>
  <c r="F395" i="11"/>
  <c r="H395" i="11" s="1"/>
  <c r="F394" i="11"/>
  <c r="H394" i="11" s="1"/>
  <c r="F393" i="11"/>
  <c r="H393" i="11" s="1"/>
  <c r="F392" i="11"/>
  <c r="H392" i="11" s="1"/>
  <c r="F391" i="11"/>
  <c r="H391" i="11" s="1"/>
  <c r="F390" i="11"/>
  <c r="H390" i="11" s="1"/>
  <c r="F389" i="11"/>
  <c r="H389" i="11" s="1"/>
  <c r="F388" i="11"/>
  <c r="H388" i="11" s="1"/>
  <c r="F387" i="11"/>
  <c r="H387" i="11" s="1"/>
  <c r="F386" i="11"/>
  <c r="H386" i="11" s="1"/>
  <c r="F385" i="11"/>
  <c r="H385" i="11" s="1"/>
  <c r="F384" i="11"/>
  <c r="H384" i="11" s="1"/>
  <c r="F383" i="11"/>
  <c r="H383" i="11" s="1"/>
  <c r="F382" i="11"/>
  <c r="H382" i="11" s="1"/>
  <c r="F381" i="11"/>
  <c r="H381" i="11" s="1"/>
  <c r="F380" i="11"/>
  <c r="H380" i="11" s="1"/>
  <c r="F379" i="11"/>
  <c r="H379" i="11" s="1"/>
  <c r="F378" i="11"/>
  <c r="H378" i="11" s="1"/>
  <c r="F377" i="11"/>
  <c r="H377" i="11" s="1"/>
  <c r="F376" i="11"/>
  <c r="H376" i="11" s="1"/>
  <c r="F375" i="11"/>
  <c r="H375" i="11" s="1"/>
  <c r="F374" i="11"/>
  <c r="H374" i="11" s="1"/>
  <c r="F373" i="11"/>
  <c r="H373" i="11" s="1"/>
  <c r="F372" i="11"/>
  <c r="H372" i="11" s="1"/>
  <c r="F371" i="11"/>
  <c r="H371" i="11" s="1"/>
  <c r="F370" i="11"/>
  <c r="H370" i="11" s="1"/>
  <c r="F369" i="11"/>
  <c r="H369" i="11" s="1"/>
  <c r="F368" i="11"/>
  <c r="H368" i="11" s="1"/>
  <c r="F367" i="11"/>
  <c r="H367" i="11" s="1"/>
  <c r="F366" i="11"/>
  <c r="H366" i="11" s="1"/>
  <c r="F365" i="11"/>
  <c r="H365" i="11" s="1"/>
  <c r="F364" i="11"/>
  <c r="H364" i="11" s="1"/>
  <c r="F363" i="11"/>
  <c r="H363" i="11" s="1"/>
  <c r="F362" i="11"/>
  <c r="H362" i="11" s="1"/>
  <c r="F361" i="11"/>
  <c r="H361" i="11" s="1"/>
  <c r="F360" i="11"/>
  <c r="H360" i="11" s="1"/>
  <c r="F359" i="11"/>
  <c r="H359" i="11" s="1"/>
  <c r="F358" i="11"/>
  <c r="H358" i="11" s="1"/>
  <c r="F357" i="11"/>
  <c r="H357" i="11" s="1"/>
  <c r="F356" i="11"/>
  <c r="H356" i="11" s="1"/>
  <c r="F355" i="11"/>
  <c r="H355" i="11" s="1"/>
  <c r="F354" i="11"/>
  <c r="H354" i="11" s="1"/>
  <c r="F353" i="11"/>
  <c r="H353" i="11" s="1"/>
  <c r="F352" i="11"/>
  <c r="H352" i="11" s="1"/>
  <c r="F351" i="11"/>
  <c r="H351" i="11" s="1"/>
  <c r="F350" i="11"/>
  <c r="H350" i="11" s="1"/>
  <c r="F349" i="11"/>
  <c r="H349" i="11" s="1"/>
  <c r="F348" i="11"/>
  <c r="H348" i="11" s="1"/>
  <c r="F347" i="11"/>
  <c r="H347" i="11" s="1"/>
  <c r="F346" i="11"/>
  <c r="H346" i="11" s="1"/>
  <c r="F345" i="11"/>
  <c r="H345" i="11" s="1"/>
  <c r="F344" i="11"/>
  <c r="H344" i="11" s="1"/>
  <c r="F343" i="11"/>
  <c r="H343" i="11" s="1"/>
  <c r="F342" i="11"/>
  <c r="H342" i="11" s="1"/>
  <c r="F341" i="11"/>
  <c r="H341" i="11" s="1"/>
  <c r="F340" i="11"/>
  <c r="H340" i="11" s="1"/>
  <c r="F339" i="11"/>
  <c r="H339" i="11" s="1"/>
  <c r="F338" i="11"/>
  <c r="H338" i="11" s="1"/>
  <c r="F337" i="11"/>
  <c r="H337" i="11" s="1"/>
  <c r="F336" i="11"/>
  <c r="H336" i="11" s="1"/>
  <c r="F335" i="11"/>
  <c r="H335" i="11" s="1"/>
  <c r="F334" i="11"/>
  <c r="H334" i="11" s="1"/>
  <c r="F333" i="11"/>
  <c r="H333" i="11" s="1"/>
  <c r="F332" i="11"/>
  <c r="H332" i="11" s="1"/>
  <c r="F331" i="11"/>
  <c r="H331" i="11" s="1"/>
  <c r="F330" i="11"/>
  <c r="H330" i="11" s="1"/>
  <c r="F329" i="11"/>
  <c r="H329" i="11" s="1"/>
  <c r="F328" i="11"/>
  <c r="H328" i="11" s="1"/>
  <c r="F327" i="11"/>
  <c r="H327" i="11" s="1"/>
  <c r="F326" i="11"/>
  <c r="H326" i="11" s="1"/>
  <c r="F325" i="11"/>
  <c r="H325" i="11" s="1"/>
  <c r="F324" i="11"/>
  <c r="H324" i="11" s="1"/>
  <c r="F323" i="11"/>
  <c r="H323" i="11" s="1"/>
  <c r="F322" i="11"/>
  <c r="H322" i="11" s="1"/>
  <c r="F321" i="11"/>
  <c r="H321" i="11" s="1"/>
  <c r="F320" i="11"/>
  <c r="H320" i="11" s="1"/>
  <c r="F319" i="11"/>
  <c r="H319" i="11" s="1"/>
  <c r="F318" i="11"/>
  <c r="H318" i="11" s="1"/>
  <c r="F317" i="11"/>
  <c r="H317" i="11" s="1"/>
  <c r="F316" i="11"/>
  <c r="H316" i="11" s="1"/>
  <c r="F315" i="11"/>
  <c r="H315" i="11" s="1"/>
  <c r="F314" i="11"/>
  <c r="H314" i="11" s="1"/>
  <c r="F313" i="11"/>
  <c r="H313" i="11" s="1"/>
  <c r="F312" i="11"/>
  <c r="H312" i="11" s="1"/>
  <c r="F311" i="11"/>
  <c r="H311" i="11" s="1"/>
  <c r="F310" i="11"/>
  <c r="H310" i="11" s="1"/>
  <c r="F309" i="11"/>
  <c r="H309" i="11" s="1"/>
  <c r="F308" i="11"/>
  <c r="H308" i="11" s="1"/>
  <c r="F307" i="11"/>
  <c r="H307" i="11" s="1"/>
  <c r="F306" i="11"/>
  <c r="H306" i="11" s="1"/>
  <c r="F305" i="11"/>
  <c r="H305" i="11" s="1"/>
  <c r="F304" i="11"/>
  <c r="H304" i="11" s="1"/>
  <c r="F303" i="11"/>
  <c r="H303" i="11" s="1"/>
  <c r="F302" i="11"/>
  <c r="H302" i="11" s="1"/>
  <c r="F301" i="11"/>
  <c r="H301" i="11" s="1"/>
  <c r="F300" i="11"/>
  <c r="H300" i="11" s="1"/>
  <c r="F299" i="11"/>
  <c r="H299" i="11" s="1"/>
  <c r="F298" i="11"/>
  <c r="H298" i="11" s="1"/>
  <c r="F297" i="11"/>
  <c r="H297" i="11" s="1"/>
  <c r="F296" i="11"/>
  <c r="H296" i="11" s="1"/>
  <c r="F295" i="11"/>
  <c r="H295" i="11" s="1"/>
  <c r="F294" i="11"/>
  <c r="H294" i="11" s="1"/>
  <c r="F293" i="11"/>
  <c r="H293" i="11" s="1"/>
  <c r="F292" i="11"/>
  <c r="H292" i="11" s="1"/>
  <c r="F291" i="11"/>
  <c r="H291" i="11" s="1"/>
  <c r="F290" i="11"/>
  <c r="H290" i="11" s="1"/>
  <c r="F289" i="11"/>
  <c r="H289" i="11" s="1"/>
  <c r="F288" i="11"/>
  <c r="H288" i="11" s="1"/>
  <c r="F287" i="11"/>
  <c r="H287" i="11" s="1"/>
  <c r="F286" i="11"/>
  <c r="H286" i="11" s="1"/>
  <c r="F285" i="11"/>
  <c r="H285" i="11" s="1"/>
  <c r="F284" i="11"/>
  <c r="H284" i="11" s="1"/>
  <c r="F283" i="11"/>
  <c r="H283" i="11" s="1"/>
  <c r="F282" i="11"/>
  <c r="H282" i="11" s="1"/>
  <c r="F281" i="11"/>
  <c r="H281" i="11" s="1"/>
  <c r="F280" i="11"/>
  <c r="H280" i="11" s="1"/>
  <c r="F279" i="11"/>
  <c r="H279" i="11" s="1"/>
  <c r="F278" i="11"/>
  <c r="H278" i="11" s="1"/>
  <c r="F277" i="11"/>
  <c r="H277" i="11" s="1"/>
  <c r="F276" i="11"/>
  <c r="H276" i="11" s="1"/>
  <c r="F275" i="11"/>
  <c r="H275" i="11" s="1"/>
  <c r="F274" i="11"/>
  <c r="H274" i="11" s="1"/>
  <c r="F273" i="11"/>
  <c r="H273" i="11" s="1"/>
  <c r="F272" i="11"/>
  <c r="H272" i="11" s="1"/>
  <c r="F271" i="11"/>
  <c r="H271" i="11" s="1"/>
  <c r="F270" i="11"/>
  <c r="H270" i="11" s="1"/>
  <c r="F269" i="11"/>
  <c r="H269" i="11" s="1"/>
  <c r="F268" i="11"/>
  <c r="H268" i="11" s="1"/>
  <c r="F267" i="11"/>
  <c r="H267" i="11" s="1"/>
  <c r="F266" i="11"/>
  <c r="H266" i="11" s="1"/>
  <c r="F265" i="11"/>
  <c r="H265" i="11" s="1"/>
  <c r="F264" i="11"/>
  <c r="H264" i="11" s="1"/>
  <c r="F263" i="11"/>
  <c r="H263" i="11" s="1"/>
  <c r="F262" i="11"/>
  <c r="H262" i="11" s="1"/>
  <c r="F261" i="11"/>
  <c r="H261" i="11" s="1"/>
  <c r="F260" i="11"/>
  <c r="H260" i="11" s="1"/>
  <c r="F259" i="11"/>
  <c r="H259" i="11" s="1"/>
  <c r="F258" i="11"/>
  <c r="H258" i="11" s="1"/>
  <c r="F257" i="11"/>
  <c r="H257" i="11" s="1"/>
  <c r="F256" i="11"/>
  <c r="H256" i="11" s="1"/>
  <c r="F255" i="11"/>
  <c r="H255" i="11" s="1"/>
  <c r="F254" i="11"/>
  <c r="H254" i="11" s="1"/>
  <c r="F253" i="11"/>
  <c r="H253" i="11" s="1"/>
  <c r="F252" i="11"/>
  <c r="H252" i="11" s="1"/>
  <c r="F251" i="11"/>
  <c r="H251" i="11" s="1"/>
  <c r="F250" i="11"/>
  <c r="H250" i="11" s="1"/>
  <c r="F249" i="11"/>
  <c r="H249" i="11" s="1"/>
  <c r="F248" i="11"/>
  <c r="H248" i="11" s="1"/>
  <c r="F247" i="11"/>
  <c r="H247" i="11" s="1"/>
  <c r="F246" i="11"/>
  <c r="H246" i="11" s="1"/>
  <c r="F245" i="11"/>
  <c r="H245" i="11" s="1"/>
  <c r="F244" i="11"/>
  <c r="H244" i="11" s="1"/>
  <c r="F243" i="11"/>
  <c r="H243" i="11" s="1"/>
  <c r="F242" i="11"/>
  <c r="H242" i="11" s="1"/>
  <c r="F241" i="11"/>
  <c r="H241" i="11" s="1"/>
  <c r="F240" i="11"/>
  <c r="H240" i="11" s="1"/>
  <c r="F239" i="11"/>
  <c r="H239" i="11" s="1"/>
  <c r="F238" i="11"/>
  <c r="H238" i="11" s="1"/>
  <c r="F237" i="11"/>
  <c r="H237" i="11" s="1"/>
  <c r="F236" i="11"/>
  <c r="H236" i="11" s="1"/>
  <c r="F235" i="11"/>
  <c r="H235" i="11" s="1"/>
  <c r="F234" i="11"/>
  <c r="H234" i="11" s="1"/>
  <c r="F233" i="11"/>
  <c r="H233" i="11" s="1"/>
  <c r="F232" i="11"/>
  <c r="H232" i="11" s="1"/>
  <c r="F231" i="11"/>
  <c r="H231" i="11" s="1"/>
  <c r="F230" i="11"/>
  <c r="H230" i="11" s="1"/>
  <c r="F229" i="11"/>
  <c r="H229" i="11" s="1"/>
  <c r="F228" i="11"/>
  <c r="H228" i="11" s="1"/>
  <c r="F227" i="11"/>
  <c r="H227" i="11" s="1"/>
  <c r="F226" i="11"/>
  <c r="H226" i="11" s="1"/>
  <c r="F225" i="11"/>
  <c r="H225" i="11" s="1"/>
  <c r="F224" i="11"/>
  <c r="H224" i="11" s="1"/>
  <c r="F223" i="11"/>
  <c r="H223" i="11" s="1"/>
  <c r="F222" i="11"/>
  <c r="H222" i="11" s="1"/>
  <c r="F221" i="11"/>
  <c r="H221" i="11" s="1"/>
  <c r="F220" i="11"/>
  <c r="H220" i="11" s="1"/>
  <c r="F219" i="11"/>
  <c r="H219" i="11" s="1"/>
  <c r="F218" i="11"/>
  <c r="H218" i="11" s="1"/>
  <c r="F217" i="11"/>
  <c r="H217" i="11" s="1"/>
  <c r="F216" i="11"/>
  <c r="H216" i="11" s="1"/>
  <c r="F215" i="11"/>
  <c r="H215" i="11" s="1"/>
  <c r="F214" i="11"/>
  <c r="H214" i="11" s="1"/>
  <c r="F213" i="11"/>
  <c r="H213" i="11" s="1"/>
  <c r="F212" i="11"/>
  <c r="H212" i="11" s="1"/>
  <c r="F211" i="11"/>
  <c r="H211" i="11" s="1"/>
  <c r="F210" i="11"/>
  <c r="H210" i="11" s="1"/>
  <c r="F209" i="11"/>
  <c r="H209" i="11" s="1"/>
  <c r="F208" i="11"/>
  <c r="H208" i="11" s="1"/>
  <c r="F207" i="11"/>
  <c r="H207" i="11" s="1"/>
  <c r="F206" i="11"/>
  <c r="H206" i="11" s="1"/>
  <c r="F205" i="11"/>
  <c r="H205" i="11" s="1"/>
  <c r="F204" i="11"/>
  <c r="H204" i="11" s="1"/>
  <c r="F203" i="11"/>
  <c r="H203" i="11" s="1"/>
  <c r="F202" i="11"/>
  <c r="H202" i="11" s="1"/>
  <c r="F201" i="11"/>
  <c r="H201" i="11" s="1"/>
  <c r="F200" i="11"/>
  <c r="H200" i="11" s="1"/>
  <c r="F199" i="11"/>
  <c r="H199" i="11" s="1"/>
  <c r="F198" i="11"/>
  <c r="H198" i="11" s="1"/>
  <c r="F197" i="11"/>
  <c r="H197" i="11" s="1"/>
  <c r="F196" i="11"/>
  <c r="H196" i="11" s="1"/>
  <c r="F195" i="11"/>
  <c r="H195" i="11" s="1"/>
  <c r="F194" i="11"/>
  <c r="H194" i="11" s="1"/>
  <c r="F193" i="11"/>
  <c r="H193" i="11" s="1"/>
  <c r="F192" i="11"/>
  <c r="H192" i="11" s="1"/>
  <c r="F191" i="11"/>
  <c r="H191" i="11" s="1"/>
  <c r="F190" i="11"/>
  <c r="H190" i="11" s="1"/>
  <c r="F189" i="11"/>
  <c r="H189" i="11" s="1"/>
  <c r="F188" i="11"/>
  <c r="H188" i="11" s="1"/>
  <c r="F187" i="11"/>
  <c r="H187" i="11" s="1"/>
  <c r="F186" i="11"/>
  <c r="H186" i="11" s="1"/>
  <c r="F185" i="11"/>
  <c r="H185" i="11" s="1"/>
  <c r="F184" i="11"/>
  <c r="H184" i="11" s="1"/>
  <c r="F183" i="11"/>
  <c r="H183" i="11" s="1"/>
  <c r="F182" i="11"/>
  <c r="H182" i="11" s="1"/>
  <c r="F181" i="11"/>
  <c r="H181" i="11" s="1"/>
  <c r="F180" i="11"/>
  <c r="H180" i="11" s="1"/>
  <c r="F179" i="11"/>
  <c r="H179" i="11" s="1"/>
  <c r="F178" i="11"/>
  <c r="H178" i="11" s="1"/>
  <c r="F177" i="11"/>
  <c r="H177" i="11" s="1"/>
  <c r="F176" i="11"/>
  <c r="H176" i="11" s="1"/>
  <c r="F175" i="11"/>
  <c r="H175" i="11" s="1"/>
  <c r="F174" i="11"/>
  <c r="H174" i="11" s="1"/>
  <c r="F173" i="11"/>
  <c r="H173" i="11" s="1"/>
  <c r="F172" i="11"/>
  <c r="H172" i="11" s="1"/>
  <c r="F171" i="11"/>
  <c r="H171" i="11" s="1"/>
  <c r="F170" i="11"/>
  <c r="H170" i="11" s="1"/>
  <c r="F169" i="11"/>
  <c r="H169" i="11" s="1"/>
  <c r="F168" i="11"/>
  <c r="H168" i="11" s="1"/>
  <c r="F167" i="11"/>
  <c r="H167" i="11" s="1"/>
  <c r="F166" i="11"/>
  <c r="H166" i="11" s="1"/>
  <c r="F165" i="11"/>
  <c r="H165" i="11" s="1"/>
  <c r="F164" i="11"/>
  <c r="H164" i="11" s="1"/>
  <c r="F163" i="11"/>
  <c r="H163" i="11" s="1"/>
  <c r="F162" i="11"/>
  <c r="H162" i="11" s="1"/>
  <c r="F161" i="11"/>
  <c r="H161" i="11" s="1"/>
  <c r="F160" i="11"/>
  <c r="H160" i="11" s="1"/>
  <c r="F159" i="11"/>
  <c r="H159" i="11" s="1"/>
  <c r="F158" i="11"/>
  <c r="H158" i="11" s="1"/>
  <c r="F157" i="11"/>
  <c r="H157" i="11" s="1"/>
  <c r="F156" i="11"/>
  <c r="H156" i="11" s="1"/>
  <c r="F155" i="11"/>
  <c r="H155" i="11" s="1"/>
  <c r="F154" i="11"/>
  <c r="H154" i="11" s="1"/>
  <c r="F153" i="11"/>
  <c r="H153" i="11" s="1"/>
  <c r="F152" i="11"/>
  <c r="H152" i="11" s="1"/>
  <c r="F151" i="11"/>
  <c r="H151" i="11" s="1"/>
  <c r="F150" i="11"/>
  <c r="H150" i="11" s="1"/>
  <c r="F149" i="11"/>
  <c r="H149" i="11" s="1"/>
  <c r="F148" i="11"/>
  <c r="H148" i="11" s="1"/>
  <c r="F147" i="11"/>
  <c r="H147" i="11" s="1"/>
  <c r="F146" i="11"/>
  <c r="H146" i="11" s="1"/>
  <c r="F145" i="11"/>
  <c r="H145" i="11" s="1"/>
  <c r="F144" i="11"/>
  <c r="H144" i="11" s="1"/>
  <c r="F143" i="11"/>
  <c r="H143" i="11" s="1"/>
  <c r="F142" i="11"/>
  <c r="H142" i="11" s="1"/>
  <c r="F141" i="11"/>
  <c r="H141" i="11" s="1"/>
  <c r="F140" i="11"/>
  <c r="H140" i="11" s="1"/>
  <c r="F139" i="11"/>
  <c r="H139" i="11" s="1"/>
  <c r="F138" i="11"/>
  <c r="H138" i="11" s="1"/>
  <c r="F137" i="11"/>
  <c r="H137" i="11" s="1"/>
  <c r="F136" i="11"/>
  <c r="H136" i="11" s="1"/>
  <c r="F135" i="11"/>
  <c r="H135" i="11" s="1"/>
  <c r="F134" i="11"/>
  <c r="H134" i="11" s="1"/>
  <c r="F133" i="11"/>
  <c r="H133" i="11" s="1"/>
  <c r="F132" i="11"/>
  <c r="H132" i="11" s="1"/>
  <c r="F131" i="11"/>
  <c r="H131" i="11" s="1"/>
  <c r="F130" i="11"/>
  <c r="H130" i="11" s="1"/>
  <c r="F129" i="11"/>
  <c r="H129" i="11" s="1"/>
  <c r="F128" i="11"/>
  <c r="H128" i="11" s="1"/>
  <c r="F127" i="11"/>
  <c r="H127" i="11" s="1"/>
  <c r="F126" i="11"/>
  <c r="H126" i="11" s="1"/>
  <c r="F125" i="11"/>
  <c r="H125" i="11" s="1"/>
  <c r="F124" i="11"/>
  <c r="H124" i="11" s="1"/>
  <c r="F123" i="11"/>
  <c r="H123" i="11" s="1"/>
  <c r="F122" i="11"/>
  <c r="H122" i="11" s="1"/>
  <c r="F121" i="11"/>
  <c r="H121" i="11" s="1"/>
  <c r="F120" i="11"/>
  <c r="H120" i="11" s="1"/>
  <c r="F119" i="11"/>
  <c r="H119" i="11" s="1"/>
  <c r="F118" i="11"/>
  <c r="H118" i="11" s="1"/>
  <c r="F117" i="11"/>
  <c r="H117" i="11" s="1"/>
  <c r="F116" i="11"/>
  <c r="H116" i="11" s="1"/>
  <c r="F115" i="11"/>
  <c r="H115" i="11" s="1"/>
  <c r="F114" i="11"/>
  <c r="H114" i="11" s="1"/>
  <c r="F113" i="11"/>
  <c r="H113" i="11" s="1"/>
  <c r="F112" i="11"/>
  <c r="H112" i="11" s="1"/>
  <c r="F111" i="11"/>
  <c r="H111" i="11" s="1"/>
  <c r="F110" i="11"/>
  <c r="H110" i="11" s="1"/>
  <c r="F109" i="11"/>
  <c r="H109" i="11" s="1"/>
  <c r="F108" i="11"/>
  <c r="H108" i="11" s="1"/>
  <c r="F107" i="11"/>
  <c r="H107" i="11" s="1"/>
  <c r="F106" i="11"/>
  <c r="H106" i="11" s="1"/>
  <c r="F105" i="11"/>
  <c r="H105" i="11" s="1"/>
  <c r="F104" i="11"/>
  <c r="H104" i="11" s="1"/>
  <c r="F103" i="11"/>
  <c r="H103" i="11" s="1"/>
  <c r="F102" i="11"/>
  <c r="H102" i="11" s="1"/>
  <c r="F101" i="11"/>
  <c r="H101" i="11" s="1"/>
  <c r="F100" i="11"/>
  <c r="H100" i="11" s="1"/>
  <c r="F99" i="11"/>
  <c r="H99" i="11" s="1"/>
  <c r="F98" i="11"/>
  <c r="H98" i="11" s="1"/>
  <c r="F97" i="11"/>
  <c r="H97" i="11" s="1"/>
  <c r="F96" i="11"/>
  <c r="H96" i="11" s="1"/>
  <c r="F95" i="11"/>
  <c r="H95" i="11" s="1"/>
  <c r="F94" i="11"/>
  <c r="H94" i="11" s="1"/>
  <c r="F93" i="11"/>
  <c r="H93" i="11" s="1"/>
  <c r="F92" i="11"/>
  <c r="H92" i="11" s="1"/>
  <c r="F91" i="11"/>
  <c r="H91" i="11" s="1"/>
  <c r="F90" i="11"/>
  <c r="H90" i="11" s="1"/>
  <c r="F89" i="11"/>
  <c r="H89" i="11" s="1"/>
  <c r="F88" i="11"/>
  <c r="H88" i="11" s="1"/>
  <c r="F87" i="11"/>
  <c r="H87" i="11" s="1"/>
  <c r="F86" i="11"/>
  <c r="H86" i="11" s="1"/>
  <c r="F85" i="11"/>
  <c r="H85" i="11" s="1"/>
  <c r="F84" i="11"/>
  <c r="H84" i="11" s="1"/>
  <c r="F83" i="11"/>
  <c r="H83" i="11" s="1"/>
  <c r="F82" i="11"/>
  <c r="H82" i="11" s="1"/>
  <c r="F81" i="11"/>
  <c r="H81" i="11" s="1"/>
  <c r="F80" i="11"/>
  <c r="H80" i="11" s="1"/>
  <c r="F79" i="11"/>
  <c r="H79" i="11" s="1"/>
  <c r="F78" i="11"/>
  <c r="H78" i="11" s="1"/>
  <c r="F77" i="11"/>
  <c r="H77" i="11" s="1"/>
  <c r="F76" i="11"/>
  <c r="H76" i="11" s="1"/>
  <c r="F75" i="11"/>
  <c r="H75" i="11" s="1"/>
  <c r="F74" i="11"/>
  <c r="H74" i="11" s="1"/>
  <c r="F73" i="11"/>
  <c r="H73" i="11" s="1"/>
  <c r="F72" i="11"/>
  <c r="H72" i="11" s="1"/>
  <c r="F71" i="11"/>
  <c r="H71" i="11" s="1"/>
  <c r="F70" i="11"/>
  <c r="H70" i="11" s="1"/>
  <c r="F69" i="11"/>
  <c r="H69" i="11" s="1"/>
  <c r="F68" i="11"/>
  <c r="H68" i="11" s="1"/>
  <c r="F67" i="11"/>
  <c r="H67" i="11" s="1"/>
  <c r="F66" i="11"/>
  <c r="H66" i="11" s="1"/>
  <c r="F65" i="11"/>
  <c r="H65" i="11" s="1"/>
  <c r="F64" i="11"/>
  <c r="H64" i="11" s="1"/>
  <c r="F63" i="11"/>
  <c r="H63" i="11" s="1"/>
  <c r="F62" i="11"/>
  <c r="H62" i="11" s="1"/>
  <c r="F61" i="11"/>
  <c r="H61" i="11" s="1"/>
  <c r="F60" i="11"/>
  <c r="H60" i="11" s="1"/>
  <c r="F59" i="11"/>
  <c r="H59" i="11" s="1"/>
  <c r="F58" i="11"/>
  <c r="H58" i="11" s="1"/>
  <c r="F57" i="11"/>
  <c r="H57" i="11" s="1"/>
  <c r="F56" i="11"/>
  <c r="H56" i="11" s="1"/>
  <c r="F55" i="11"/>
  <c r="H55" i="11" s="1"/>
  <c r="F54" i="11"/>
  <c r="H54" i="11" s="1"/>
  <c r="F53" i="11"/>
  <c r="H53" i="11" s="1"/>
  <c r="F52" i="11"/>
  <c r="H52" i="11" s="1"/>
  <c r="F51" i="11"/>
  <c r="H51" i="11" s="1"/>
  <c r="F50" i="11"/>
  <c r="H50" i="11" s="1"/>
  <c r="F49" i="11"/>
  <c r="H49" i="11" s="1"/>
  <c r="F48" i="11"/>
  <c r="H48" i="11" s="1"/>
  <c r="F47" i="11"/>
  <c r="H47" i="11" s="1"/>
  <c r="F46" i="11"/>
  <c r="H46" i="11" s="1"/>
  <c r="F45" i="11"/>
  <c r="H45" i="11" s="1"/>
  <c r="F44" i="11"/>
  <c r="H44" i="11" s="1"/>
  <c r="F43" i="11"/>
  <c r="H43" i="11" s="1"/>
  <c r="F42" i="11"/>
  <c r="H42" i="11" s="1"/>
  <c r="F41" i="11"/>
  <c r="H41" i="11" s="1"/>
  <c r="F40" i="11"/>
  <c r="H40" i="11" s="1"/>
  <c r="F39" i="11"/>
  <c r="H39" i="11" s="1"/>
  <c r="F38" i="11"/>
  <c r="H38" i="11" s="1"/>
  <c r="F37" i="11"/>
  <c r="H37" i="11" s="1"/>
  <c r="F36" i="11"/>
  <c r="H36" i="11" s="1"/>
  <c r="F35" i="11"/>
  <c r="H35" i="11" s="1"/>
  <c r="F34" i="11"/>
  <c r="H34" i="11" s="1"/>
  <c r="F33" i="11"/>
  <c r="H33" i="11" s="1"/>
  <c r="F32" i="11"/>
  <c r="H32" i="11" s="1"/>
  <c r="F31" i="11"/>
  <c r="H31" i="11" s="1"/>
  <c r="F30" i="11"/>
  <c r="H30" i="11" s="1"/>
  <c r="F29" i="11"/>
  <c r="H29" i="11" s="1"/>
  <c r="F28" i="11"/>
  <c r="H28" i="11" s="1"/>
  <c r="F27" i="11"/>
  <c r="H27" i="11" s="1"/>
  <c r="F26" i="11"/>
  <c r="H26" i="11" s="1"/>
  <c r="F25" i="11"/>
  <c r="H25" i="11" s="1"/>
  <c r="F24" i="11"/>
  <c r="H24" i="11" s="1"/>
  <c r="F23" i="11"/>
  <c r="H23" i="11" s="1"/>
  <c r="F22" i="11"/>
  <c r="H22" i="11" s="1"/>
  <c r="F21" i="11"/>
  <c r="H21" i="11" s="1"/>
  <c r="F20" i="11"/>
  <c r="H20" i="11" s="1"/>
  <c r="F19" i="11"/>
  <c r="H19" i="11" s="1"/>
  <c r="F18" i="11"/>
  <c r="H18" i="11" s="1"/>
  <c r="F17" i="11"/>
  <c r="H17" i="11" s="1"/>
  <c r="F16" i="11"/>
  <c r="H16" i="11" s="1"/>
  <c r="F15" i="11"/>
  <c r="H15" i="11" s="1"/>
  <c r="F14" i="11"/>
  <c r="H14" i="11" s="1"/>
  <c r="F13" i="11"/>
  <c r="H13" i="11" s="1"/>
  <c r="F12" i="11"/>
  <c r="H12" i="11" s="1"/>
  <c r="F11" i="11"/>
  <c r="H11" i="11" s="1"/>
  <c r="F10" i="11"/>
  <c r="H10" i="11" s="1"/>
  <c r="F9" i="11"/>
  <c r="H9" i="11" s="1"/>
  <c r="F8" i="11"/>
  <c r="H8" i="11" s="1"/>
  <c r="F7" i="11"/>
  <c r="H7" i="11" s="1"/>
  <c r="F6" i="11"/>
  <c r="H6" i="11" s="1"/>
  <c r="F5" i="11"/>
  <c r="H5" i="11" s="1"/>
  <c r="A25" i="8"/>
  <c r="A24" i="8"/>
  <c r="A23" i="8"/>
  <c r="A22" i="8"/>
  <c r="A21" i="8"/>
  <c r="A20" i="8"/>
  <c r="A19" i="8"/>
  <c r="A18" i="8"/>
  <c r="A17" i="8"/>
  <c r="A16" i="8"/>
  <c r="B8" i="8"/>
  <c r="B4" i="8"/>
  <c r="K55" i="5"/>
  <c r="J55" i="5"/>
  <c r="H55" i="5"/>
  <c r="F55" i="5" s="1"/>
  <c r="K54" i="5"/>
  <c r="J54" i="5"/>
  <c r="H54" i="5"/>
  <c r="F54" i="5" s="1"/>
  <c r="K53" i="5"/>
  <c r="J53" i="5"/>
  <c r="H53" i="5"/>
  <c r="F53" i="5" s="1"/>
  <c r="K52" i="5"/>
  <c r="J52" i="5"/>
  <c r="H52" i="5"/>
  <c r="F52" i="5" s="1"/>
  <c r="K51" i="5"/>
  <c r="J51" i="5"/>
  <c r="H51" i="5"/>
  <c r="F51" i="5" s="1"/>
  <c r="K50" i="5"/>
  <c r="J50" i="5"/>
  <c r="H50" i="5"/>
  <c r="F50" i="5" s="1"/>
  <c r="K49" i="5"/>
  <c r="J49" i="5"/>
  <c r="H49" i="5"/>
  <c r="F49" i="5" s="1"/>
  <c r="K48" i="5"/>
  <c r="J48" i="5"/>
  <c r="H48" i="5"/>
  <c r="F48" i="5" s="1"/>
  <c r="K47" i="5"/>
  <c r="J47" i="5"/>
  <c r="H47" i="5"/>
  <c r="F47" i="5" s="1"/>
  <c r="K46" i="5"/>
  <c r="J46" i="5"/>
  <c r="H46" i="5"/>
  <c r="F46" i="5" s="1"/>
  <c r="K45" i="5"/>
  <c r="J45" i="5"/>
  <c r="H45" i="5"/>
  <c r="F45" i="5" s="1"/>
  <c r="K44" i="5"/>
  <c r="J44" i="5"/>
  <c r="H44" i="5"/>
  <c r="F44" i="5" s="1"/>
  <c r="K43" i="5"/>
  <c r="J43" i="5"/>
  <c r="H43" i="5"/>
  <c r="F43" i="5" s="1"/>
  <c r="K42" i="5"/>
  <c r="J42" i="5"/>
  <c r="H42" i="5"/>
  <c r="F42" i="5" s="1"/>
  <c r="K41" i="5"/>
  <c r="J41" i="5"/>
  <c r="H41" i="5"/>
  <c r="F41" i="5" s="1"/>
  <c r="K40" i="5"/>
  <c r="J40" i="5"/>
  <c r="H40" i="5"/>
  <c r="F40" i="5" s="1"/>
  <c r="K39" i="5"/>
  <c r="J39" i="5"/>
  <c r="H39" i="5"/>
  <c r="F39" i="5" s="1"/>
  <c r="K38" i="5"/>
  <c r="J38" i="5"/>
  <c r="H38" i="5"/>
  <c r="F38" i="5" s="1"/>
  <c r="K37" i="5"/>
  <c r="J37" i="5"/>
  <c r="H37" i="5"/>
  <c r="F37" i="5" s="1"/>
  <c r="K36" i="5"/>
  <c r="J36" i="5"/>
  <c r="H36" i="5"/>
  <c r="F36" i="5" s="1"/>
  <c r="K35" i="5"/>
  <c r="J35" i="5"/>
  <c r="H35" i="5"/>
  <c r="F35" i="5" s="1"/>
  <c r="K34" i="5"/>
  <c r="J34" i="5"/>
  <c r="H34" i="5"/>
  <c r="F34" i="5" s="1"/>
  <c r="K33" i="5"/>
  <c r="J33" i="5"/>
  <c r="H33" i="5"/>
  <c r="F33" i="5" s="1"/>
  <c r="K32" i="5"/>
  <c r="J32" i="5"/>
  <c r="H32" i="5"/>
  <c r="F32" i="5" s="1"/>
  <c r="K31" i="5"/>
  <c r="J31" i="5"/>
  <c r="H31" i="5"/>
  <c r="F31" i="5" s="1"/>
  <c r="K30" i="5"/>
  <c r="J30" i="5"/>
  <c r="H30" i="5"/>
  <c r="F30" i="5" s="1"/>
  <c r="K29" i="5"/>
  <c r="J29" i="5"/>
  <c r="H29" i="5"/>
  <c r="F29" i="5" s="1"/>
  <c r="K28" i="5"/>
  <c r="J28" i="5"/>
  <c r="H28" i="5"/>
  <c r="F28" i="5" s="1"/>
  <c r="K27" i="5"/>
  <c r="J27" i="5"/>
  <c r="H27" i="5"/>
  <c r="F27" i="5" s="1"/>
  <c r="K26" i="5"/>
  <c r="J26" i="5"/>
  <c r="H26" i="5"/>
  <c r="F26" i="5" s="1"/>
  <c r="L25" i="5"/>
  <c r="K25" i="5"/>
  <c r="J25" i="5"/>
  <c r="H25" i="5"/>
  <c r="F25" i="5" s="1"/>
  <c r="L24" i="5"/>
  <c r="K24" i="5"/>
  <c r="J24" i="5"/>
  <c r="H24" i="5"/>
  <c r="F24" i="5" s="1"/>
  <c r="L23" i="5"/>
  <c r="K23" i="5"/>
  <c r="J23" i="5"/>
  <c r="H23" i="5"/>
  <c r="F23" i="5" s="1"/>
  <c r="L22" i="5"/>
  <c r="K22" i="5"/>
  <c r="J22" i="5"/>
  <c r="H22" i="5"/>
  <c r="F22" i="5" s="1"/>
  <c r="L21" i="5"/>
  <c r="K21" i="5"/>
  <c r="J21" i="5"/>
  <c r="H21" i="5"/>
  <c r="F21" i="5" s="1"/>
  <c r="L20" i="5"/>
  <c r="K20" i="5"/>
  <c r="J20" i="5"/>
  <c r="H20" i="5"/>
  <c r="F20" i="5" s="1"/>
  <c r="L19" i="5"/>
  <c r="K19" i="5"/>
  <c r="J19" i="5"/>
  <c r="H19" i="5"/>
  <c r="F19" i="5" s="1"/>
  <c r="M6" i="5" s="1"/>
  <c r="L18" i="5"/>
  <c r="K18" i="5"/>
  <c r="J18" i="5"/>
  <c r="H18" i="5"/>
  <c r="F18" i="5" s="1"/>
  <c r="L17" i="5"/>
  <c r="K17" i="5"/>
  <c r="J17" i="5"/>
  <c r="H17" i="5" s="1"/>
  <c r="F17" i="5" s="1"/>
  <c r="L16" i="5"/>
  <c r="J16" i="5"/>
  <c r="M7" i="5"/>
  <c r="B6" i="5"/>
  <c r="B9" i="5" s="1"/>
  <c r="K16" i="5" s="1"/>
  <c r="B4" i="5"/>
  <c r="D4" i="5" s="1"/>
  <c r="K55" i="4"/>
  <c r="J55" i="4"/>
  <c r="H55" i="4"/>
  <c r="F55" i="4" s="1"/>
  <c r="K54" i="4"/>
  <c r="J54" i="4"/>
  <c r="H54" i="4"/>
  <c r="F54" i="4" s="1"/>
  <c r="K53" i="4"/>
  <c r="J53" i="4"/>
  <c r="H53" i="4"/>
  <c r="F53" i="4" s="1"/>
  <c r="K52" i="4"/>
  <c r="J52" i="4"/>
  <c r="H52" i="4"/>
  <c r="F52" i="4" s="1"/>
  <c r="K51" i="4"/>
  <c r="J51" i="4"/>
  <c r="H51" i="4"/>
  <c r="F51" i="4" s="1"/>
  <c r="K50" i="4"/>
  <c r="J50" i="4"/>
  <c r="H50" i="4"/>
  <c r="F50" i="4" s="1"/>
  <c r="K49" i="4"/>
  <c r="J49" i="4"/>
  <c r="H49" i="4"/>
  <c r="F49" i="4" s="1"/>
  <c r="K48" i="4"/>
  <c r="J48" i="4"/>
  <c r="H48" i="4"/>
  <c r="F48" i="4" s="1"/>
  <c r="K47" i="4"/>
  <c r="J47" i="4"/>
  <c r="H47" i="4"/>
  <c r="F47" i="4" s="1"/>
  <c r="K46" i="4"/>
  <c r="J46" i="4"/>
  <c r="H46" i="4"/>
  <c r="F46" i="4" s="1"/>
  <c r="K45" i="4"/>
  <c r="J45" i="4"/>
  <c r="H45" i="4"/>
  <c r="F45" i="4" s="1"/>
  <c r="K44" i="4"/>
  <c r="J44" i="4"/>
  <c r="H44" i="4"/>
  <c r="F44" i="4" s="1"/>
  <c r="K43" i="4"/>
  <c r="J43" i="4"/>
  <c r="H43" i="4"/>
  <c r="F43" i="4" s="1"/>
  <c r="K42" i="4"/>
  <c r="J42" i="4"/>
  <c r="H42" i="4"/>
  <c r="F42" i="4" s="1"/>
  <c r="K41" i="4"/>
  <c r="J41" i="4"/>
  <c r="H41" i="4"/>
  <c r="F41" i="4" s="1"/>
  <c r="K40" i="4"/>
  <c r="J40" i="4"/>
  <c r="H40" i="4"/>
  <c r="F40" i="4" s="1"/>
  <c r="K39" i="4"/>
  <c r="J39" i="4"/>
  <c r="H39" i="4"/>
  <c r="F39" i="4" s="1"/>
  <c r="K38" i="4"/>
  <c r="J38" i="4"/>
  <c r="H38" i="4"/>
  <c r="F38" i="4" s="1"/>
  <c r="K37" i="4"/>
  <c r="J37" i="4"/>
  <c r="H37" i="4"/>
  <c r="F37" i="4" s="1"/>
  <c r="K36" i="4"/>
  <c r="J36" i="4"/>
  <c r="H36" i="4"/>
  <c r="F36" i="4" s="1"/>
  <c r="K35" i="4"/>
  <c r="J35" i="4"/>
  <c r="H35" i="4"/>
  <c r="F35" i="4" s="1"/>
  <c r="K34" i="4"/>
  <c r="J34" i="4"/>
  <c r="H34" i="4"/>
  <c r="F34" i="4" s="1"/>
  <c r="K33" i="4"/>
  <c r="J33" i="4"/>
  <c r="H33" i="4"/>
  <c r="F33" i="4" s="1"/>
  <c r="K32" i="4"/>
  <c r="J32" i="4"/>
  <c r="H32" i="4"/>
  <c r="F32" i="4" s="1"/>
  <c r="K31" i="4"/>
  <c r="J31" i="4"/>
  <c r="H31" i="4"/>
  <c r="F31" i="4" s="1"/>
  <c r="K30" i="4"/>
  <c r="J30" i="4"/>
  <c r="H30" i="4"/>
  <c r="F30" i="4" s="1"/>
  <c r="K29" i="4"/>
  <c r="J29" i="4"/>
  <c r="H29" i="4"/>
  <c r="F29" i="4" s="1"/>
  <c r="K28" i="4"/>
  <c r="J28" i="4"/>
  <c r="H28" i="4"/>
  <c r="F28" i="4" s="1"/>
  <c r="K27" i="4"/>
  <c r="J27" i="4"/>
  <c r="H27" i="4"/>
  <c r="F27" i="4" s="1"/>
  <c r="K26" i="4"/>
  <c r="J26" i="4"/>
  <c r="H26" i="4"/>
  <c r="F26" i="4" s="1"/>
  <c r="L25" i="4"/>
  <c r="K25" i="4"/>
  <c r="J25" i="4"/>
  <c r="H25" i="4"/>
  <c r="F25" i="4" s="1"/>
  <c r="L24" i="4"/>
  <c r="K24" i="4"/>
  <c r="J24" i="4"/>
  <c r="H24" i="4"/>
  <c r="F24" i="4" s="1"/>
  <c r="L23" i="4"/>
  <c r="K23" i="4"/>
  <c r="J23" i="4"/>
  <c r="H23" i="4"/>
  <c r="F23" i="4" s="1"/>
  <c r="L22" i="4"/>
  <c r="K22" i="4"/>
  <c r="J22" i="4"/>
  <c r="H22" i="4"/>
  <c r="F22" i="4" s="1"/>
  <c r="L21" i="4"/>
  <c r="K21" i="4"/>
  <c r="J21" i="4"/>
  <c r="H21" i="4"/>
  <c r="F21" i="4" s="1"/>
  <c r="L20" i="4"/>
  <c r="K20" i="4"/>
  <c r="J20" i="4"/>
  <c r="H20" i="4"/>
  <c r="L19" i="4"/>
  <c r="K19" i="4"/>
  <c r="J19" i="4"/>
  <c r="H19" i="4"/>
  <c r="F19" i="4" s="1"/>
  <c r="L18" i="4"/>
  <c r="K18" i="4"/>
  <c r="J18" i="4"/>
  <c r="H18" i="4"/>
  <c r="F18" i="4" s="1"/>
  <c r="L17" i="4"/>
  <c r="K17" i="4"/>
  <c r="J17" i="4"/>
  <c r="H17" i="4"/>
  <c r="F17" i="4" s="1"/>
  <c r="L16" i="4"/>
  <c r="K16" i="4"/>
  <c r="J16" i="4"/>
  <c r="H16" i="4" s="1"/>
  <c r="F16" i="4" s="1"/>
  <c r="M7" i="4"/>
  <c r="B4" i="4"/>
  <c r="D4" i="4" s="1"/>
  <c r="I25" i="3"/>
  <c r="H25" i="3" s="1"/>
  <c r="I24" i="3"/>
  <c r="H24" i="3" s="1"/>
  <c r="I23" i="3"/>
  <c r="H23" i="3" s="1"/>
  <c r="I22" i="3"/>
  <c r="H22" i="3" s="1"/>
  <c r="I21" i="3"/>
  <c r="H21" i="3" s="1"/>
  <c r="I20" i="3"/>
  <c r="H20" i="3" s="1"/>
  <c r="I19" i="3"/>
  <c r="H19" i="3" s="1"/>
  <c r="I18" i="3"/>
  <c r="H18" i="3" s="1"/>
  <c r="I17" i="3"/>
  <c r="H17" i="3" s="1"/>
  <c r="I16" i="3"/>
  <c r="A28" i="2"/>
  <c r="A25" i="2"/>
  <c r="A23" i="2"/>
  <c r="A22" i="2"/>
  <c r="A21" i="2"/>
  <c r="A20" i="2"/>
  <c r="A19" i="2"/>
  <c r="B19" i="2" s="1"/>
  <c r="A18" i="2"/>
  <c r="A17" i="2"/>
  <c r="A16" i="2"/>
  <c r="A15" i="2"/>
  <c r="A14" i="2"/>
  <c r="B11" i="2"/>
  <c r="G9" i="2"/>
  <c r="G7" i="2"/>
  <c r="G6" i="2"/>
  <c r="A6" i="2"/>
  <c r="G5" i="2"/>
  <c r="G4" i="2"/>
  <c r="A4" i="2"/>
  <c r="A45" i="1"/>
  <c r="A44" i="1"/>
  <c r="A43" i="1"/>
  <c r="A42" i="1"/>
  <c r="A41" i="1"/>
  <c r="A40" i="1"/>
  <c r="A39" i="1"/>
  <c r="A38" i="1"/>
  <c r="A37" i="1"/>
  <c r="A36" i="1"/>
  <c r="X53" i="10" l="1"/>
  <c r="Y53" i="10"/>
  <c r="V53" i="10"/>
  <c r="W53" i="10"/>
  <c r="T53" i="10"/>
  <c r="U53" i="10"/>
  <c r="R53" i="10"/>
  <c r="S53" i="10"/>
  <c r="P53" i="10"/>
  <c r="Q53" i="10"/>
  <c r="N53" i="10"/>
  <c r="O53" i="10"/>
  <c r="L53" i="10"/>
  <c r="M53" i="10"/>
  <c r="J53" i="10"/>
  <c r="K53" i="10"/>
  <c r="H53" i="10"/>
  <c r="I53" i="10"/>
  <c r="F53" i="10"/>
  <c r="G53" i="10"/>
  <c r="D53" i="10"/>
  <c r="E53" i="10"/>
  <c r="B53" i="10"/>
  <c r="C53" i="10"/>
  <c r="X52" i="10"/>
  <c r="Y52" i="10"/>
  <c r="V52" i="10"/>
  <c r="W52" i="10"/>
  <c r="T52" i="10"/>
  <c r="U52" i="10"/>
  <c r="R52" i="10"/>
  <c r="S52" i="10"/>
  <c r="P52" i="10"/>
  <c r="Q52" i="10"/>
  <c r="N52" i="10"/>
  <c r="O52" i="10"/>
  <c r="L52" i="10"/>
  <c r="M52" i="10"/>
  <c r="J52" i="10"/>
  <c r="K52" i="10"/>
  <c r="H52" i="10"/>
  <c r="I52" i="10"/>
  <c r="F52" i="10"/>
  <c r="G52" i="10"/>
  <c r="D52" i="10"/>
  <c r="E52" i="10"/>
  <c r="B52" i="10"/>
  <c r="C52" i="10"/>
  <c r="X51" i="10"/>
  <c r="Y51" i="10"/>
  <c r="V51" i="10"/>
  <c r="W51" i="10"/>
  <c r="T51" i="10"/>
  <c r="U51" i="10"/>
  <c r="R51" i="10"/>
  <c r="S51" i="10"/>
  <c r="P51" i="10"/>
  <c r="Q51" i="10"/>
  <c r="N51" i="10"/>
  <c r="O51" i="10"/>
  <c r="L51" i="10"/>
  <c r="M51" i="10"/>
  <c r="J51" i="10"/>
  <c r="K51" i="10"/>
  <c r="H51" i="10"/>
  <c r="I51" i="10"/>
  <c r="F51" i="10"/>
  <c r="G51" i="10"/>
  <c r="D51" i="10"/>
  <c r="E51" i="10"/>
  <c r="B51" i="10"/>
  <c r="C51" i="10"/>
  <c r="X50" i="10"/>
  <c r="Y50" i="10"/>
  <c r="V50" i="10"/>
  <c r="W50" i="10"/>
  <c r="T50" i="10"/>
  <c r="U50" i="10"/>
  <c r="R50" i="10"/>
  <c r="S50" i="10"/>
  <c r="P50" i="10"/>
  <c r="Q50" i="10"/>
  <c r="N50" i="10"/>
  <c r="O50" i="10"/>
  <c r="L50" i="10"/>
  <c r="M50" i="10"/>
  <c r="J50" i="10"/>
  <c r="K50" i="10"/>
  <c r="H50" i="10"/>
  <c r="I50" i="10"/>
  <c r="F50" i="10"/>
  <c r="G50" i="10"/>
  <c r="D50" i="10"/>
  <c r="E50" i="10"/>
  <c r="B50" i="10"/>
  <c r="C50" i="10"/>
  <c r="X49" i="10"/>
  <c r="Y49" i="10"/>
  <c r="V49" i="10"/>
  <c r="W49" i="10"/>
  <c r="T49" i="10"/>
  <c r="U49" i="10"/>
  <c r="R49" i="10"/>
  <c r="S49" i="10"/>
  <c r="P49" i="10"/>
  <c r="Q49" i="10"/>
  <c r="N49" i="10"/>
  <c r="O49" i="10"/>
  <c r="L49" i="10"/>
  <c r="M49" i="10"/>
  <c r="J49" i="10"/>
  <c r="K49" i="10"/>
  <c r="H49" i="10"/>
  <c r="I49" i="10"/>
  <c r="F49" i="10"/>
  <c r="G49" i="10"/>
  <c r="D49" i="10"/>
  <c r="E49" i="10"/>
  <c r="B49" i="10"/>
  <c r="C49" i="10"/>
  <c r="X48" i="10"/>
  <c r="Y48" i="10"/>
  <c r="V48" i="10"/>
  <c r="W48" i="10"/>
  <c r="T48" i="10"/>
  <c r="U48" i="10"/>
  <c r="R48" i="10"/>
  <c r="S48" i="10"/>
  <c r="P48" i="10"/>
  <c r="Q48" i="10"/>
  <c r="N48" i="10"/>
  <c r="O48" i="10"/>
  <c r="L48" i="10"/>
  <c r="M48" i="10"/>
  <c r="J48" i="10"/>
  <c r="K48" i="10"/>
  <c r="H48" i="10"/>
  <c r="I48" i="10"/>
  <c r="F48" i="10"/>
  <c r="G48" i="10"/>
  <c r="D48" i="10"/>
  <c r="E48" i="10"/>
  <c r="B48" i="10"/>
  <c r="C48" i="10"/>
  <c r="X47" i="10"/>
  <c r="Y47" i="10"/>
  <c r="V47" i="10"/>
  <c r="W47" i="10"/>
  <c r="T47" i="10"/>
  <c r="U47" i="10"/>
  <c r="R47" i="10"/>
  <c r="S47" i="10"/>
  <c r="P47" i="10"/>
  <c r="Q47" i="10"/>
  <c r="N47" i="10"/>
  <c r="O47" i="10"/>
  <c r="L47" i="10"/>
  <c r="M47" i="10"/>
  <c r="J47" i="10"/>
  <c r="K47" i="10"/>
  <c r="H47" i="10"/>
  <c r="I47" i="10"/>
  <c r="F47" i="10"/>
  <c r="G47" i="10"/>
  <c r="D47" i="10"/>
  <c r="E47" i="10"/>
  <c r="B47" i="10"/>
  <c r="C47" i="10"/>
  <c r="X46" i="10"/>
  <c r="Y46" i="10"/>
  <c r="V46" i="10"/>
  <c r="W46" i="10"/>
  <c r="T46" i="10"/>
  <c r="U46" i="10"/>
  <c r="R46" i="10"/>
  <c r="S46" i="10"/>
  <c r="P46" i="10"/>
  <c r="Q46" i="10"/>
  <c r="N46" i="10"/>
  <c r="O46" i="10"/>
  <c r="L46" i="10"/>
  <c r="M46" i="10"/>
  <c r="J46" i="10"/>
  <c r="K46" i="10"/>
  <c r="H46" i="10"/>
  <c r="I46" i="10"/>
  <c r="F46" i="10"/>
  <c r="G46" i="10"/>
  <c r="D46" i="10"/>
  <c r="E46" i="10"/>
  <c r="B46" i="10"/>
  <c r="C46" i="10"/>
  <c r="H16" i="5"/>
  <c r="I28" i="3"/>
  <c r="B7" i="8" s="1"/>
  <c r="H16" i="3"/>
  <c r="J25" i="8"/>
  <c r="I25" i="8"/>
  <c r="E25" i="8"/>
  <c r="D25" i="8"/>
  <c r="C25" i="8"/>
  <c r="B25" i="8"/>
  <c r="B45" i="1" s="1"/>
  <c r="J24" i="8"/>
  <c r="I24" i="8"/>
  <c r="E24" i="8"/>
  <c r="D24" i="8"/>
  <c r="C24" i="8"/>
  <c r="B24" i="8"/>
  <c r="B44" i="1" s="1"/>
  <c r="J23" i="8"/>
  <c r="I23" i="8"/>
  <c r="E23" i="8"/>
  <c r="D23" i="8"/>
  <c r="C23" i="8"/>
  <c r="B23" i="8"/>
  <c r="B43" i="1" s="1"/>
  <c r="J22" i="8"/>
  <c r="I22" i="8"/>
  <c r="E22" i="8"/>
  <c r="D22" i="8"/>
  <c r="C22" i="8"/>
  <c r="B22" i="8"/>
  <c r="B42" i="1" s="1"/>
  <c r="J21" i="8"/>
  <c r="I21" i="8"/>
  <c r="E21" i="8"/>
  <c r="D21" i="8"/>
  <c r="C21" i="8"/>
  <c r="B21" i="8"/>
  <c r="B41" i="1" s="1"/>
  <c r="J20" i="8"/>
  <c r="I20" i="8"/>
  <c r="E20" i="8"/>
  <c r="D20" i="8"/>
  <c r="C20" i="8"/>
  <c r="B20" i="8"/>
  <c r="B40" i="1" s="1"/>
  <c r="J19" i="8"/>
  <c r="I19" i="8"/>
  <c r="E19" i="8"/>
  <c r="D19" i="8"/>
  <c r="C19" i="8"/>
  <c r="B19" i="8"/>
  <c r="B39" i="1" s="1"/>
  <c r="J18" i="8"/>
  <c r="I18" i="8"/>
  <c r="E18" i="8"/>
  <c r="D18" i="8"/>
  <c r="C18" i="8"/>
  <c r="B18" i="8"/>
  <c r="B38" i="1" s="1"/>
  <c r="I17" i="8"/>
  <c r="E17" i="8"/>
  <c r="D17" i="8"/>
  <c r="J17" i="8" s="1"/>
  <c r="C17" i="8"/>
  <c r="B17" i="8"/>
  <c r="B37" i="1" s="1"/>
  <c r="I16" i="8"/>
  <c r="E16" i="8"/>
  <c r="D16" i="8"/>
  <c r="J16" i="8" s="1"/>
  <c r="B16" i="8"/>
  <c r="B36" i="1" s="1"/>
  <c r="B11" i="8"/>
  <c r="H17" i="1" s="1"/>
  <c r="B9" i="8"/>
  <c r="B6" i="8"/>
  <c r="B5" i="8"/>
  <c r="M25" i="5"/>
  <c r="N25" i="5"/>
  <c r="M24" i="5"/>
  <c r="N24" i="5"/>
  <c r="M23" i="5"/>
  <c r="N23" i="5"/>
  <c r="N22" i="5"/>
  <c r="M22" i="5"/>
  <c r="M21" i="5"/>
  <c r="N21" i="5"/>
  <c r="N20" i="5"/>
  <c r="M20" i="5"/>
  <c r="N19" i="5"/>
  <c r="M19" i="5"/>
  <c r="N18" i="5"/>
  <c r="M18" i="5"/>
  <c r="M17" i="5"/>
  <c r="N17" i="5"/>
  <c r="N16" i="5"/>
  <c r="N25" i="4"/>
  <c r="M25" i="4"/>
  <c r="N24" i="4"/>
  <c r="M24" i="4"/>
  <c r="M23" i="4"/>
  <c r="N23" i="4"/>
  <c r="N22" i="4"/>
  <c r="M22" i="4"/>
  <c r="N21" i="4"/>
  <c r="M21" i="4"/>
  <c r="M20" i="4"/>
  <c r="N20" i="4"/>
  <c r="F20" i="4"/>
  <c r="M6" i="4" s="1"/>
  <c r="M5" i="4"/>
  <c r="N19" i="4"/>
  <c r="M19" i="4"/>
  <c r="M18" i="4"/>
  <c r="N18" i="4"/>
  <c r="N17" i="4"/>
  <c r="M17" i="4"/>
  <c r="M16" i="4"/>
  <c r="N16" i="4"/>
  <c r="C23" i="2"/>
  <c r="G23" i="2"/>
  <c r="I23" i="2"/>
  <c r="F23" i="2"/>
  <c r="E23" i="2"/>
  <c r="D23" i="2"/>
  <c r="B23" i="2"/>
  <c r="J23" i="2"/>
  <c r="C22" i="2"/>
  <c r="D22" i="2"/>
  <c r="J22" i="2"/>
  <c r="I22" i="2"/>
  <c r="G22" i="2"/>
  <c r="F22" i="2"/>
  <c r="E22" i="2"/>
  <c r="B22" i="2"/>
  <c r="J21" i="2"/>
  <c r="I21" i="2"/>
  <c r="D21" i="2"/>
  <c r="C21" i="2"/>
  <c r="F21" i="2"/>
  <c r="G21" i="2"/>
  <c r="E21" i="2"/>
  <c r="B21" i="2"/>
  <c r="C20" i="2"/>
  <c r="I20" i="2"/>
  <c r="G20" i="2"/>
  <c r="F20" i="2"/>
  <c r="D20" i="2"/>
  <c r="J20" i="2"/>
  <c r="E20" i="2"/>
  <c r="B20" i="2"/>
  <c r="F19" i="2"/>
  <c r="D19" i="2"/>
  <c r="E19" i="2"/>
  <c r="G19" i="2"/>
  <c r="I19" i="2"/>
  <c r="J19" i="2"/>
  <c r="C19" i="2"/>
  <c r="E18" i="2"/>
  <c r="F18" i="2"/>
  <c r="G18" i="2"/>
  <c r="I18" i="2"/>
  <c r="J18" i="2"/>
  <c r="D18" i="2"/>
  <c r="C18" i="2"/>
  <c r="B18" i="2"/>
  <c r="C17" i="2"/>
  <c r="D17" i="2"/>
  <c r="I17" i="2"/>
  <c r="J17" i="2"/>
  <c r="E17" i="2"/>
  <c r="G17" i="2"/>
  <c r="B17" i="2"/>
  <c r="F17" i="2"/>
  <c r="C16" i="2"/>
  <c r="J16" i="2"/>
  <c r="I16" i="2"/>
  <c r="G16" i="2"/>
  <c r="F16" i="2"/>
  <c r="D16" i="2"/>
  <c r="E16" i="2"/>
  <c r="B16" i="2"/>
  <c r="J15" i="2"/>
  <c r="B15" i="2"/>
  <c r="C15" i="2"/>
  <c r="E15" i="2"/>
  <c r="G15" i="2"/>
  <c r="D15" i="2"/>
  <c r="F15" i="2"/>
  <c r="D14" i="2"/>
  <c r="J14" i="2"/>
  <c r="C14" i="2"/>
  <c r="F14" i="2"/>
  <c r="E14" i="2"/>
  <c r="B14" i="2"/>
  <c r="M5" i="5" l="1"/>
  <c r="F16" i="5"/>
  <c r="M16" i="5" s="1"/>
  <c r="B10" i="8"/>
  <c r="C16" i="8"/>
  <c r="H29" i="3"/>
  <c r="B12" i="8" s="1"/>
  <c r="M30" i="8" s="1"/>
  <c r="G14" i="2"/>
  <c r="F21" i="8" l="1"/>
  <c r="C41" i="1" s="1"/>
  <c r="H20" i="8"/>
  <c r="G20" i="8"/>
  <c r="D40" i="1" s="1"/>
  <c r="F20" i="8"/>
  <c r="C40" i="1" s="1"/>
  <c r="G19" i="8"/>
  <c r="D39" i="1" s="1"/>
  <c r="F19" i="8"/>
  <c r="C39" i="1" s="1"/>
  <c r="H18" i="8"/>
  <c r="G18" i="8"/>
  <c r="D38" i="1" s="1"/>
  <c r="F18" i="8"/>
  <c r="C38" i="1" s="1"/>
  <c r="H22" i="2"/>
  <c r="H19" i="8"/>
  <c r="H17" i="8"/>
  <c r="I15" i="2" s="1"/>
  <c r="H15" i="2" s="1"/>
  <c r="G17" i="8"/>
  <c r="D37" i="1" s="1"/>
  <c r="H21" i="2"/>
  <c r="H19" i="2"/>
  <c r="H17" i="2"/>
  <c r="G25" i="8"/>
  <c r="D45" i="1" s="1"/>
  <c r="F25" i="8"/>
  <c r="C45" i="1" s="1"/>
  <c r="E45" i="1"/>
  <c r="F44" i="1"/>
  <c r="E43" i="1"/>
  <c r="F41" i="1"/>
  <c r="F40" i="1"/>
  <c r="E39" i="1"/>
  <c r="F38" i="1"/>
  <c r="B29" i="8"/>
  <c r="B38" i="8"/>
  <c r="I29" i="2" s="1"/>
  <c r="B41" i="8"/>
  <c r="D47" i="1" s="1"/>
  <c r="I28" i="2"/>
  <c r="A32" i="2"/>
  <c r="H24" i="8"/>
  <c r="G24" i="8"/>
  <c r="D44" i="1" s="1"/>
  <c r="F24" i="8"/>
  <c r="C44" i="1" s="1"/>
  <c r="H23" i="8"/>
  <c r="G23" i="8"/>
  <c r="D43" i="1" s="1"/>
  <c r="F23" i="8"/>
  <c r="C43" i="1" s="1"/>
  <c r="H22" i="8"/>
  <c r="G22" i="8"/>
  <c r="D42" i="1" s="1"/>
  <c r="F22" i="8"/>
  <c r="C42" i="1" s="1"/>
  <c r="H21" i="8"/>
  <c r="G21" i="8"/>
  <c r="D41" i="1" s="1"/>
  <c r="E42" i="1"/>
  <c r="F17" i="8"/>
  <c r="C37" i="1" s="1"/>
  <c r="G16" i="8"/>
  <c r="H23" i="2"/>
  <c r="H20" i="2"/>
  <c r="H18" i="2"/>
  <c r="H25" i="8"/>
  <c r="F45" i="1"/>
  <c r="E44" i="1"/>
  <c r="F42" i="1"/>
  <c r="E41" i="1"/>
  <c r="E40" i="1"/>
  <c r="F39" i="1"/>
  <c r="E38" i="1"/>
  <c r="H16" i="2"/>
  <c r="F43" i="1"/>
  <c r="H16" i="8"/>
  <c r="I14" i="2" s="1"/>
  <c r="H14" i="2" s="1"/>
  <c r="F16" i="8"/>
  <c r="E37" i="1" l="1"/>
  <c r="F37" i="1" s="1"/>
  <c r="M31" i="8"/>
  <c r="B40" i="8"/>
  <c r="M32" i="8" s="1"/>
  <c r="D36" i="1"/>
  <c r="B31" i="8"/>
  <c r="B36" i="8"/>
  <c r="I25" i="2" s="1"/>
  <c r="I26" i="2"/>
  <c r="B37" i="8"/>
  <c r="C36" i="1"/>
  <c r="B30" i="8"/>
  <c r="E36" i="1" l="1"/>
  <c r="F36" i="1" s="1"/>
  <c r="G6" i="1"/>
  <c r="N31" i="8"/>
  <c r="M46" i="8"/>
  <c r="M45" i="8"/>
  <c r="M43" i="8"/>
  <c r="M41" i="8"/>
  <c r="M44" i="8"/>
  <c r="M38" i="8"/>
  <c r="M42" i="8"/>
  <c r="M40" i="8"/>
  <c r="M39" i="8"/>
  <c r="M37" i="8"/>
  <c r="M36" i="8"/>
  <c r="B34" i="8"/>
  <c r="I27" i="2"/>
  <c r="B39" i="8"/>
  <c r="B32" i="8"/>
  <c r="D6" i="1"/>
  <c r="N30" i="8"/>
  <c r="B17" i="1" l="1"/>
  <c r="B35" i="8"/>
  <c r="F17" i="1" s="1"/>
  <c r="I30" i="2"/>
  <c r="C8" i="2"/>
  <c r="B33" i="8"/>
  <c r="D10" i="1"/>
  <c r="N32" i="8"/>
  <c r="G10" i="1" l="1"/>
  <c r="D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0000-000004000000}">
      <text>
        <r>
          <rPr>
            <sz val="11"/>
            <rFont val="Carlito"/>
          </rPr>
          <t>【意味】各明細の基準売上に試算値引率を適用した税抜合計。
【例】160,000円から10%引き＝144,000円。
【実務】値引き交渉後に残る売上を比較します。消費税は含みません。</t>
        </r>
      </text>
    </comment>
    <comment ref="G5" authorId="0" shapeId="0" xr:uid="{00000000-0006-0000-0000-000005000000}">
      <text>
        <r>
          <rPr>
            <sz val="11"/>
            <rFont val="Carlito"/>
          </rPr>
          <t>【意味】選択業種の原価と案件共通費に原価増減率を適用した合計。
【例】原価88,000円から10%増＝96,800円。
【実務】未算入の間接費がないか確認。木工と農業の原価は合算しません。</t>
        </r>
      </text>
    </comment>
    <comment ref="A7" authorId="0" shapeId="0" xr:uid="{00000000-0006-0000-0000-000001000000}">
      <text>
        <r>
          <rPr>
            <sz val="11"/>
            <rFont val="Carlito"/>
          </rPr>
          <t>【意味】売上を分母にした目標の予定案件利益率。0%以上100%未満。
【例】原価88,000円、目標30%なら必要売価は125,715円。
【実務】最低受注価格の検討に使います。原価への上乗せ率とは異なります。</t>
        </r>
      </text>
    </comment>
    <comment ref="A9" authorId="0" shapeId="0" xr:uid="{00000000-0006-0000-0000-000002000000}">
      <text>
        <r>
          <rPr>
            <sz val="11"/>
            <rFont val="Carlito"/>
          </rPr>
          <t>【意味】基準売上に対する仮の値引率。整数0〜100を入力。
【例】10なら10%引き。160,000円→144,000円。
【実務】利益への影響を比較。見積書へは別途「確定値引率」に反映します。</t>
        </r>
      </text>
    </comment>
    <comment ref="D9" authorId="0" shapeId="0" xr:uid="{00000000-0006-0000-0000-000006000000}">
      <text>
        <r>
          <rPr>
            <sz val="11"/>
            <rFont val="Carlito"/>
          </rPr>
          <t>【意味】試算売上−試算原価。入力済みの費用に基づく管理用利益。
【例】160,000−88,000＝72,000円。
【実務】受注判断に使います。未計上費用があると実利益を過大評価します。会計上の営業利益とは限りません。</t>
        </r>
      </text>
    </comment>
    <comment ref="G9" authorId="0" shapeId="0" xr:uid="{00000000-0006-0000-0000-000007000000}">
      <text>
        <r>
          <rPr>
            <sz val="11"/>
            <rFont val="Carlito"/>
          </rPr>
          <t>【意味】予定案件利益÷試算売上。売上0円なら算出不可。
【例】72,000÷160,000＝45%。
【実務】案件を比較し目標と照合します。商品別差額率とは共通費の範囲が異なります。</t>
        </r>
      </text>
    </comment>
    <comment ref="A11" authorId="0" shapeId="0" xr:uid="{00000000-0006-0000-0000-000003000000}">
      <text>
        <r>
          <rPr>
            <sz val="11"/>
            <rFont val="Carlito"/>
          </rPr>
          <t>【意味】商品原価と案件共通費全体への一律増減割合。
【例】10%で88,000円→96,800円。
【実務】仕入価格上昇への耐性を見る概算。個別変更は原価明細で行います。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200-000001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15" authorId="0" shapeId="0" xr:uid="{00000000-0006-0000-0200-000002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15" authorId="0" shapeId="0" xr:uid="{00000000-0006-0000-0200-000003000000}">
      <text>
        <r>
          <rPr>
            <sz val="11"/>
            <rFont val="Carlito"/>
          </rPr>
          <t>【意味】サイズ・材質・品質等の見積条件。
【例】幅120cm・無垢材、野菜5kg。
【実務】価格の前提を明記し、仕様変更時の追加費用判断に使います。</t>
        </r>
      </text>
    </comment>
    <comment ref="D15" authorId="0" shapeId="0" xr:uid="{00000000-0006-0000-0200-000004000000}">
      <text>
        <r>
          <rPr>
            <sz val="11"/>
            <rFont val="Carlito"/>
          </rPr>
          <t>【意味】今回販売する数量。0より大きい値。
【例】テーブル2台、野菜100箱。
【実務】数量連動の原価も変わります。一式原価は変わりません。</t>
        </r>
      </text>
    </comment>
    <comment ref="E15" authorId="0" shapeId="0" xr:uid="{00000000-0006-0000-0200-000005000000}">
      <text>
        <r>
          <rPr>
            <sz val="11"/>
            <rFont val="Carlito"/>
          </rPr>
          <t>【意味】販売数量の単位。
【例】台、脚、箱、kg、式。
【実務】原価の使用量と単位が一致しているか確認します。</t>
        </r>
      </text>
    </comment>
    <comment ref="F15" authorId="0" shapeId="0" xr:uid="{00000000-0006-0000-0200-000006000000}">
      <text>
        <r>
          <rPr>
            <sz val="11"/>
            <rFont val="Carlito"/>
          </rPr>
          <t>【意味】確定値引き前の税抜販売単価。
【例】50,000円×2台＝100,000円。
【実務】交渉前の提示価格を入力します。原価単価と混同しません。</t>
        </r>
      </text>
    </comment>
    <comment ref="G15" authorId="0" shapeId="0" xr:uid="{00000000-0006-0000-0200-000007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H15" authorId="0" shapeId="0" xr:uid="{00000000-0006-0000-0200-000008000000}">
      <text>
        <r>
          <rPr>
            <sz val="11"/>
            <rFont val="Carlito"/>
          </rPr>
          <t>【意味】数量×税抜単価を円単位四捨五入した値引き前金額。
【例】2×50,000＝100,000円。
【実務】明細の計算確認に使います。確定値引き後金額は見積書を確認します。</t>
        </r>
      </text>
    </comment>
    <comment ref="I15" authorId="0" shapeId="0" xr:uid="{00000000-0006-0000-0200-000009000000}">
      <text>
        <r>
          <rPr>
            <sz val="11"/>
            <rFont val="Carlito"/>
          </rPr>
          <t>【意味】必須項目・ID重複・数量・単価・税率の検査結果。
【例】ID重複、数値を入力、OK。
【実務】要確認行を修正してから見積を発行します。OKは採算の良さを意味しません。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300-000001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15" authorId="0" shapeId="0" xr:uid="{00000000-0006-0000-0300-000002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15" authorId="0" shapeId="0" xr:uid="{00000000-0006-0000-0300-000003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15" authorId="0" shapeId="0" xr:uid="{00000000-0006-0000-0300-000004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15" authorId="0" shapeId="0" xr:uid="{00000000-0006-0000-0300-000005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15" authorId="0" shapeId="0" xr:uid="{00000000-0006-0000-0300-000006000000}">
      <text>
        <r>
          <rPr>
            <sz val="11"/>
            <rFont val="Carlito"/>
          </rPr>
          <t>【意味】使用量×適用単価×見積数量。一式は数量1。円単位四捨五入。
【例】10時間×1,000円×2台＝20,000円。
【実務】商品別原価と案件共通費の積上げを確認します。</t>
        </r>
      </text>
    </comment>
    <comment ref="G15" authorId="0" shapeId="0" xr:uid="{00000000-0006-0000-0300-000007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H15" authorId="0" shapeId="0" xr:uid="{00000000-0006-0000-0300-000008000000}">
      <text>
        <r>
          <rPr>
            <sz val="11"/>
            <rFont val="Carlito"/>
          </rPr>
          <t>【意味】ID・必須欄・数値・数量の扱いの入力検査結果。
【例】ID未登録・重複、OK。
【実務】OK以外の行を修正。未入力を原価0円として扱わない設計です。</t>
        </r>
      </text>
    </comment>
    <comment ref="I15" authorId="0" shapeId="0" xr:uid="{00000000-0006-0000-0300-000009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  <comment ref="J15" authorId="0" shapeId="0" xr:uid="{00000000-0006-0000-0300-00000A000000}">
      <text>
        <r>
          <rPr>
            <sz val="11"/>
            <rFont val="Carlito"/>
          </rPr>
          <t>【意味】数量連動なら対象販売明細から取得、一式なら1。
【例】M001の販売数量2、一式配送は1。
【実務】参照結果の確認用。変更は見積入力側で行います。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400-000001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15" authorId="0" shapeId="0" xr:uid="{00000000-0006-0000-0400-000002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15" authorId="0" shapeId="0" xr:uid="{00000000-0006-0000-0400-000003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15" authorId="0" shapeId="0" xr:uid="{00000000-0006-0000-0400-000004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15" authorId="0" shapeId="0" xr:uid="{00000000-0006-0000-0400-000005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15" authorId="0" shapeId="0" xr:uid="{00000000-0006-0000-0400-000006000000}">
      <text>
        <r>
          <rPr>
            <sz val="11"/>
            <rFont val="Carlito"/>
          </rPr>
          <t>【意味】使用量×適用単価×見積数量。一式は数量1。円単位四捨五入。
【例】10時間×1,000円×2台＝20,000円。
【実務】商品別原価と案件共通費の積上げを確認します。</t>
        </r>
      </text>
    </comment>
    <comment ref="G15" authorId="0" shapeId="0" xr:uid="{00000000-0006-0000-0400-000007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H15" authorId="0" shapeId="0" xr:uid="{00000000-0006-0000-0400-000008000000}">
      <text>
        <r>
          <rPr>
            <sz val="11"/>
            <rFont val="Carlito"/>
          </rPr>
          <t>【意味】ID・必須欄・数値・数量の扱いの入力検査結果。
【例】ID未登録・重複、OK。
【実務】OK以外の行を修正。未入力を原価0円として扱わない設計です。</t>
        </r>
      </text>
    </comment>
    <comment ref="I15" authorId="0" shapeId="0" xr:uid="{00000000-0006-0000-0400-000009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  <comment ref="J15" authorId="0" shapeId="0" xr:uid="{00000000-0006-0000-0400-00000A000000}">
      <text>
        <r>
          <rPr>
            <sz val="11"/>
            <rFont val="Carlito"/>
          </rPr>
          <t>【意味】数量連動なら対象販売明細から取得、一式なら1。
【例】M001の販売数量2、一式配送は1。
【実務】参照結果の確認用。変更は見積入力側で行います。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600-000001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6" authorId="0" shapeId="0" xr:uid="{00000000-0006-0000-0600-000002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6" authorId="0" shapeId="0" xr:uid="{00000000-0006-0000-0600-000003000000}">
      <text>
        <r>
          <rPr>
            <sz val="11"/>
            <rFont val="Carlito"/>
          </rPr>
          <t>【意味】サイズ・材質・品質等の見積条件。
【例】幅120cm・無垢材、野菜5kg。
【実務】価格の前提を明記し、仕様変更時の追加費用判断に使います。</t>
        </r>
      </text>
    </comment>
    <comment ref="D6" authorId="0" shapeId="0" xr:uid="{00000000-0006-0000-0600-000004000000}">
      <text>
        <r>
          <rPr>
            <sz val="11"/>
            <rFont val="Carlito"/>
          </rPr>
          <t>【意味】今回販売する数量。0より大きい値。
【例】テーブル2台、野菜100箱。
【実務】数量連動の原価も変わります。一式原価は変わりません。</t>
        </r>
      </text>
    </comment>
    <comment ref="E6" authorId="0" shapeId="0" xr:uid="{00000000-0006-0000-0600-000005000000}">
      <text>
        <r>
          <rPr>
            <sz val="11"/>
            <rFont val="Carlito"/>
          </rPr>
          <t>【意味】販売数量の単位。
【例】台、脚、箱、kg、式。
【実務】原価の使用量と単位が一致しているか確認します。</t>
        </r>
      </text>
    </comment>
    <comment ref="F6" authorId="0" shapeId="0" xr:uid="{00000000-0006-0000-0600-000006000000}">
      <text>
        <r>
          <rPr>
            <sz val="11"/>
            <rFont val="Carlito"/>
          </rPr>
          <t>【意味】確定値引き前の税抜販売単価。
【例】50,000円×2台＝100,000円。
【実務】交渉前の提示価格を入力します。原価単価と混同しません。</t>
        </r>
      </text>
    </comment>
    <comment ref="G6" authorId="0" shapeId="0" xr:uid="{00000000-0006-0000-0600-000007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A11" authorId="0" shapeId="0" xr:uid="{00000000-0006-0000-0600-00000F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11" authorId="0" shapeId="0" xr:uid="{00000000-0006-0000-0600-000010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11" authorId="0" shapeId="0" xr:uid="{00000000-0006-0000-0600-000011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11" authorId="0" shapeId="0" xr:uid="{00000000-0006-0000-0600-000012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11" authorId="0" shapeId="0" xr:uid="{00000000-0006-0000-0600-000013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11" authorId="0" shapeId="0" xr:uid="{00000000-0006-0000-0600-000014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G11" authorId="0" shapeId="0" xr:uid="{00000000-0006-0000-0600-000015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  <comment ref="A21" authorId="0" shapeId="0" xr:uid="{00000000-0006-0000-0600-000008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21" authorId="0" shapeId="0" xr:uid="{00000000-0006-0000-0600-000009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21" authorId="0" shapeId="0" xr:uid="{00000000-0006-0000-0600-00000A000000}">
      <text>
        <r>
          <rPr>
            <sz val="11"/>
            <rFont val="Carlito"/>
          </rPr>
          <t>【意味】サイズ・材質・品質等の見積条件。
【例】幅120cm・無垢材、野菜5kg。
【実務】価格の前提を明記し、仕様変更時の追加費用判断に使います。</t>
        </r>
      </text>
    </comment>
    <comment ref="D21" authorId="0" shapeId="0" xr:uid="{00000000-0006-0000-0600-00000B000000}">
      <text>
        <r>
          <rPr>
            <sz val="11"/>
            <rFont val="Carlito"/>
          </rPr>
          <t>【意味】今回販売する数量。0より大きい値。
【例】テーブル2台、野菜100箱。
【実務】数量連動の原価も変わります。一式原価は変わりません。</t>
        </r>
      </text>
    </comment>
    <comment ref="E21" authorId="0" shapeId="0" xr:uid="{00000000-0006-0000-0600-00000C000000}">
      <text>
        <r>
          <rPr>
            <sz val="11"/>
            <rFont val="Carlito"/>
          </rPr>
          <t>【意味】販売数量の単位。
【例】台、脚、箱、kg、式。
【実務】原価の使用量と単位が一致しているか確認します。</t>
        </r>
      </text>
    </comment>
    <comment ref="F21" authorId="0" shapeId="0" xr:uid="{00000000-0006-0000-0600-00000D000000}">
      <text>
        <r>
          <rPr>
            <sz val="11"/>
            <rFont val="Carlito"/>
          </rPr>
          <t>【意味】確定値引き前の税抜販売単価。
【例】50,000円×2台＝100,000円。
【実務】交渉前の提示価格を入力します。原価単価と混同しません。</t>
        </r>
      </text>
    </comment>
    <comment ref="G21" authorId="0" shapeId="0" xr:uid="{00000000-0006-0000-0600-00000E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A25" authorId="0" shapeId="0" xr:uid="{00000000-0006-0000-0600-000016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25" authorId="0" shapeId="0" xr:uid="{00000000-0006-0000-0600-000017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25" authorId="0" shapeId="0" xr:uid="{00000000-0006-0000-0600-000018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25" authorId="0" shapeId="0" xr:uid="{00000000-0006-0000-0600-000019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25" authorId="0" shapeId="0" xr:uid="{00000000-0006-0000-0600-00001A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25" authorId="0" shapeId="0" xr:uid="{00000000-0006-0000-0600-00001B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G25" authorId="0" shapeId="0" xr:uid="{00000000-0006-0000-0600-00001C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700-000001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15" authorId="0" shapeId="0" xr:uid="{00000000-0006-0000-0700-000002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15" authorId="0" shapeId="0" xr:uid="{00000000-0006-0000-0700-000003000000}">
      <text>
        <r>
          <rPr>
            <sz val="11"/>
            <rFont val="Carlito"/>
          </rPr>
          <t>【意味】値引き前の税抜売上。
【例】テーブル2台×50,000円＝100,000円。
【実務】入力側の数量・単価との一致を確認します。</t>
        </r>
      </text>
    </comment>
    <comment ref="D15" authorId="0" shapeId="0" xr:uid="{00000000-0006-0000-0700-000004000000}">
      <text>
        <r>
          <rPr>
            <sz val="11"/>
            <rFont val="Carlito"/>
          </rPr>
          <t>【意味】選択業種で当該IDに紐付く原価。共通費は別集計。
【例】テーブル材料30,000＋作業20,000＝50,000円。
【実務】明細別採算を確認。案件共通費を重ねて入力しません。</t>
        </r>
      </text>
    </comment>
    <comment ref="E15" authorId="0" shapeId="0" xr:uid="{00000000-0006-0000-0700-000005000000}">
      <text>
        <r>
          <rPr>
            <sz val="11"/>
            <rFont val="Carlito"/>
          </rPr>
          <t>【意味】対象IDに紐付いた原価行の件数。
【例】材料と作業の2行なら2。
【実務】0件は原価登録漏れを示します。金額0円と区別します。</t>
        </r>
      </text>
    </comment>
    <comment ref="F15" authorId="0" shapeId="0" xr:uid="{00000000-0006-0000-0700-000006000000}">
      <text>
        <r>
          <rPr>
            <sz val="11"/>
            <rFont val="Carlito"/>
          </rPr>
          <t>【意味】当該明細の基準売上に試算値引率を適用した税抜金額。円単位四捨五入。
【例】テーブル100,000円を10%引きなら90,000円。
【実務】商品単位の値引き後売上を確認し、案件合計はB30で確認します。</t>
        </r>
      </text>
    </comment>
    <comment ref="G15" authorId="0" shapeId="0" xr:uid="{00000000-0006-0000-0700-000007000000}">
      <text>
        <r>
          <rPr>
            <sz val="11"/>
            <rFont val="Carlito"/>
          </rPr>
          <t>【意味】明細原価に原価増減率を適用した金額。
【例】50,000円×1.1＝55,000円。
【実務】案件共通費は別途B41で増減し合計します。</t>
        </r>
      </text>
    </comment>
    <comment ref="H15" authorId="0" shapeId="0" xr:uid="{00000000-0006-0000-0700-000008000000}">
      <text>
        <r>
          <rPr>
            <sz val="11"/>
            <rFont val="Carlito"/>
          </rPr>
          <t>【意味】基準売上に確定値引率を適用した税抜金額。
【例】100,000円を10%引きなら90,000円。
【実務】実際に見積書へ表示する金額。試算値引率とは独立です。</t>
        </r>
      </text>
    </comment>
    <comment ref="I15" authorId="0" shapeId="0" xr:uid="{00000000-0006-0000-0700-000009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J15" authorId="0" shapeId="0" xr:uid="{00000000-0006-0000-0700-00000A000000}">
      <text>
        <r>
          <rPr>
            <sz val="11"/>
            <rFont val="Carlito"/>
          </rPr>
          <t>【意味】原価取得・行数の整合状態。
【例】原価件数が0なら原価の紐付け不足。
【実務】ID一致を確認して見積原価の漏れを防ぎます。</t>
        </r>
      </text>
    </comment>
  </commentList>
</comments>
</file>

<file path=xl/sharedStrings.xml><?xml version="1.0" encoding="utf-8"?>
<sst xmlns="http://schemas.openxmlformats.org/spreadsheetml/2006/main" count="2284" uniqueCount="308">
  <si>
    <t>見積・原価・利益シミュレーター</t>
  </si>
  <si>
    <t>対象業種</t>
  </si>
  <si>
    <t>木工所</t>
  </si>
  <si>
    <t>試算売上</t>
  </si>
  <si>
    <t>試算原価</t>
  </si>
  <si>
    <t>目標利益率</t>
  </si>
  <si>
    <t>試算値引率(%)</t>
  </si>
  <si>
    <t>予定案件利益</t>
  </si>
  <si>
    <t>予定案件利益率</t>
  </si>
  <si>
    <t>原価増減率</t>
  </si>
  <si>
    <t>原価増減率は原価全体への一律試算です。個別条件・数量変更は見積入力と業種別原価シートで行います。</t>
  </si>
  <si>
    <t>試算値引率は見積書に反映されません。採用する率を「見積入力」の確定値引率へ入力してください。</t>
  </si>
  <si>
    <t>目標必要売価</t>
  </si>
  <si>
    <t>目標維持値引上限</t>
  </si>
  <si>
    <t>共通経費</t>
  </si>
  <si>
    <t>明細ID</t>
  </si>
  <si>
    <t>品名</t>
  </si>
  <si>
    <t>紐付く原価</t>
  </si>
  <si>
    <t>共通費控除前差額</t>
  </si>
  <si>
    <t>同利益率</t>
  </si>
  <si>
    <t>案件共通費</t>
  </si>
  <si>
    <t>商品別の差額は案件共通費の控除前です。案件全体の予定利益は共通費を差し引いた結果です。</t>
  </si>
  <si>
    <t>見積書</t>
  </si>
  <si>
    <t>税込見積金額</t>
  </si>
  <si>
    <t>発行日</t>
  </si>
  <si>
    <t>No.</t>
  </si>
  <si>
    <t>規格・仕様</t>
  </si>
  <si>
    <t>数量</t>
  </si>
  <si>
    <t>単位</t>
  </si>
  <si>
    <t>税抜単価</t>
  </si>
  <si>
    <t>値引前金額</t>
  </si>
  <si>
    <t>値引額</t>
  </si>
  <si>
    <t>税抜金額</t>
  </si>
  <si>
    <t>税率</t>
  </si>
  <si>
    <t>税抜合計</t>
  </si>
  <si>
    <t>10%対象額</t>
  </si>
  <si>
    <t>10%消費税</t>
  </si>
  <si>
    <t>8%対象額</t>
  </si>
  <si>
    <t>8%消費税</t>
  </si>
  <si>
    <t>税込合計</t>
  </si>
  <si>
    <t>8%対象・10%対象の税額はそれぞれ円未満切捨て。0%入力分は税額0円として集計。</t>
  </si>
  <si>
    <t>見積入力</t>
  </si>
  <si>
    <t>件名</t>
  </si>
  <si>
    <t>家具製作・納品</t>
  </si>
  <si>
    <t>宛先</t>
  </si>
  <si>
    <t>サンプルのお客様</t>
  </si>
  <si>
    <t>見積番号</t>
  </si>
  <si>
    <t>DEMO-001</t>
  </si>
  <si>
    <t>確定値引率</t>
  </si>
  <si>
    <t>有効期限</t>
  </si>
  <si>
    <t>発行日から30日</t>
  </si>
  <si>
    <t>納期・支払条件</t>
  </si>
  <si>
    <t>納期・支払条件を入力</t>
  </si>
  <si>
    <t>備考</t>
  </si>
  <si>
    <t>入力確認</t>
  </si>
  <si>
    <t>M001</t>
  </si>
  <si>
    <t>テーブル</t>
  </si>
  <si>
    <t>標準仕様</t>
  </si>
  <si>
    <t>台</t>
  </si>
  <si>
    <t>M002</t>
  </si>
  <si>
    <t>椅子</t>
  </si>
  <si>
    <t>脚</t>
  </si>
  <si>
    <t>入力状態</t>
  </si>
  <si>
    <t>税抜小計</t>
  </si>
  <si>
    <t>明細IDは半角英数字で固定。原価も同じIDに紐付けます。数量変更で一式費用は増減しません。</t>
  </si>
  <si>
    <t>税率は取引に応じて0・8%・10%を選択。値引き後明細金額を円単位四捨五入、税額は税率別に切り捨て。</t>
  </si>
  <si>
    <t>原価(木工所)</t>
  </si>
  <si>
    <t>選択中の業種</t>
  </si>
  <si>
    <t>COST-V1</t>
  </si>
  <si>
    <t>原価入力状態</t>
  </si>
  <si>
    <t>材料・加工・外注・配送を、明細IDまたは「案件共通」に紐付けます。</t>
  </si>
  <si>
    <t>共通経費表示</t>
  </si>
  <si>
    <t>数量連動：使用量/販売単位 × 原価単価 × 見積数量。一式：使用量 × 原価単価。</t>
  </si>
  <si>
    <t>共通経費の扱い</t>
  </si>
  <si>
    <t>今回は未算入</t>
  </si>
  <si>
    <t>青色が入力欄。未算入の共通経費は利益に含まれません。既に単価に含む費用は二重計上しないでください。</t>
  </si>
  <si>
    <t>対象明細ID</t>
  </si>
  <si>
    <t>区分</t>
  </si>
  <si>
    <t>内容</t>
  </si>
  <si>
    <t>使用量・時間</t>
  </si>
  <si>
    <t>原価単価</t>
  </si>
  <si>
    <t>原価金額</t>
  </si>
  <si>
    <t>根拠・単位</t>
  </si>
  <si>
    <t>数量の扱い</t>
  </si>
  <si>
    <t>見積数量</t>
  </si>
  <si>
    <t>適用単価</t>
  </si>
  <si>
    <t>原価行数</t>
  </si>
  <si>
    <t>材料</t>
  </si>
  <si>
    <t>テーブル材料</t>
  </si>
  <si>
    <t>台当たり</t>
  </si>
  <si>
    <t>数量連動</t>
  </si>
  <si>
    <t>作業</t>
  </si>
  <si>
    <t>テーブル作業</t>
  </si>
  <si>
    <t>時間/台</t>
  </si>
  <si>
    <t>椅子材料</t>
  </si>
  <si>
    <t>脚当たり</t>
  </si>
  <si>
    <t>椅子作業</t>
  </si>
  <si>
    <t>時間/脚</t>
  </si>
  <si>
    <t>案件共通</t>
  </si>
  <si>
    <t>配送</t>
  </si>
  <si>
    <t>一括配送</t>
  </si>
  <si>
    <t>納品1回</t>
  </si>
  <si>
    <t>一式</t>
  </si>
  <si>
    <t>原価(農家)</t>
  </si>
  <si>
    <t>作物・栽培期間</t>
  </si>
  <si>
    <t>サンプル野菜・1作期</t>
  </si>
  <si>
    <t>種苗・肥料・資材</t>
  </si>
  <si>
    <t>生産費用合計</t>
  </si>
  <si>
    <t>栽培・収穫作業</t>
  </si>
  <si>
    <t>販売可能収穫量</t>
  </si>
  <si>
    <t>その他の直接費</t>
  </si>
  <si>
    <t>生産量の単位</t>
  </si>
  <si>
    <t>kg</t>
  </si>
  <si>
    <t>共通経費の割当</t>
  </si>
  <si>
    <t>生産原価単価</t>
  </si>
  <si>
    <t>計上済み</t>
  </si>
  <si>
    <t>生産原価</t>
  </si>
  <si>
    <t>対象出荷分の生産原価</t>
  </si>
  <si>
    <t>kg/箱・単価自動</t>
  </si>
  <si>
    <t>箱・包装材</t>
  </si>
  <si>
    <t>箱当たり</t>
  </si>
  <si>
    <t>選別・梱包</t>
  </si>
  <si>
    <t>時間/箱</t>
  </si>
  <si>
    <t>今回の配送</t>
  </si>
  <si>
    <t>出荷1回</t>
  </si>
  <si>
    <t>設定</t>
  </si>
  <si>
    <t>業種</t>
  </si>
  <si>
    <t>原価シート名</t>
  </si>
  <si>
    <t>農家</t>
  </si>
  <si>
    <t>自社名</t>
  </si>
  <si>
    <t>サンプル事業者</t>
  </si>
  <si>
    <t>住所</t>
  </si>
  <si>
    <t>住所を入力してください</t>
  </si>
  <si>
    <t>連絡先</t>
  </si>
  <si>
    <t>連絡先を入力してください</t>
  </si>
  <si>
    <t>担当者</t>
  </si>
  <si>
    <t>担当者名</t>
  </si>
  <si>
    <t>業種を減らす場合：残す業種を選択 → この表の不要行を行ごと削除 → 不要な原価シートを削除。</t>
  </si>
  <si>
    <t>業種を減らす場合は不要な登録行を行ごと削除。シート保護・数式ロックは解除済みです。</t>
  </si>
  <si>
    <t>サンプル・入力例</t>
  </si>
  <si>
    <t>架空の記入例です。相場ではありません。このシートの数値は実際の見積に集計されません。</t>
  </si>
  <si>
    <t>木工所の販売例</t>
  </si>
  <si>
    <t>仕様</t>
  </si>
  <si>
    <t>対象ID</t>
  </si>
  <si>
    <t>使用量</t>
  </si>
  <si>
    <t>根拠</t>
  </si>
  <si>
    <t>木工所：売上160,000円、原価88,000円、利益72,000円、利益率45.0%。</t>
  </si>
  <si>
    <t>農家の販売例</t>
  </si>
  <si>
    <t>野菜5kg箱</t>
  </si>
  <si>
    <t>同一作物・同一品質</t>
  </si>
  <si>
    <t>箱</t>
  </si>
  <si>
    <t>農家：生産費用1,000,000円 ÷ 販売可能収穫量5,000kg ＝ 200円/kg。</t>
  </si>
  <si>
    <t>100箱×5kg。売上200,000円、原価140,000円、利益60,000円、利益率30.0%。</t>
  </si>
  <si>
    <t>農家を試す：業種を農家に変更し、見積入力A16:G25を消去してA22:G22の値をA16:G16に貼り付け。</t>
  </si>
  <si>
    <t>原価側は両業種とも記入例を入力済み。実案件では入力欄を置き換え、不要行は入力セルだけ消去してください。</t>
  </si>
  <si>
    <t>計算</t>
  </si>
  <si>
    <t>参照シート名</t>
  </si>
  <si>
    <t>出力形式</t>
  </si>
  <si>
    <t>見積入力状態</t>
  </si>
  <si>
    <t>試算条件</t>
  </si>
  <si>
    <t>総合状態</t>
  </si>
  <si>
    <t>基準売上</t>
  </si>
  <si>
    <t>原価</t>
  </si>
  <si>
    <t>原価件数</t>
  </si>
  <si>
    <t>確定売上</t>
  </si>
  <si>
    <t>紐付け</t>
  </si>
  <si>
    <t>基準原価</t>
  </si>
  <si>
    <t>項目</t>
  </si>
  <si>
    <t>基準</t>
  </si>
  <si>
    <t>試算</t>
  </si>
  <si>
    <t>売上</t>
  </si>
  <si>
    <t>利益</t>
  </si>
  <si>
    <t>値引率</t>
  </si>
  <si>
    <t>利益(円)</t>
  </si>
  <si>
    <t>0%</t>
  </si>
  <si>
    <t>10%税額</t>
  </si>
  <si>
    <t>5%</t>
  </si>
  <si>
    <t>8%税額</t>
  </si>
  <si>
    <t>10%</t>
  </si>
  <si>
    <t>税込見積額</t>
  </si>
  <si>
    <t>15%</t>
  </si>
  <si>
    <t>基準利益</t>
  </si>
  <si>
    <t>20%</t>
  </si>
  <si>
    <t>試算共通費</t>
  </si>
  <si>
    <t>25%</t>
  </si>
  <si>
    <t>30%</t>
  </si>
  <si>
    <t>35%</t>
  </si>
  <si>
    <t>40%</t>
  </si>
  <si>
    <t>45%</t>
  </si>
  <si>
    <t>50%</t>
  </si>
  <si>
    <t>使い方・検証</t>
  </si>
  <si>
    <t>v0.2 デザイン・売上分析評価用。Windows版Excelでの操作・保存・印刷は未検証です。</t>
  </si>
  <si>
    <t>1. 採算シミュレーションで業種を選び、見積入力に販売明細を入力します。</t>
  </si>
  <si>
    <t>2. 対象の原価シートに原価を入力します。商品ごとに少なくとも1行の原価が必要です。</t>
  </si>
  <si>
    <t>3. 値引率・原価増減率を変更し、利益を確認します。見積書は確定値引率だけを使用します。</t>
  </si>
  <si>
    <t>4. 見積書の宛先・発行日・税区分を確認し、Excelの印刷／PDF保存で出力します。</t>
  </si>
  <si>
    <t>淡い緑色が入力欄。全シートの固定・保護・数式ロックを解除済み。数式の上書きにご注意ください。</t>
  </si>
  <si>
    <t>上限：販売10明細、原価40明細/業種。行追加・削除ではなく、用意した入力欄を使用してください。</t>
  </si>
  <si>
    <t>案件共通費は商品へ自動配賦しません。商品別差額は案件共通費控除前、案件利益は控除後です。</t>
  </si>
  <si>
    <t>数量連動は一定の使用量・単価を仮定します。数量変更後は歩留まり・段取り・配送条件を再確認してください。</t>
  </si>
  <si>
    <t>農業原価は1作物・1栽培単位の平均原価。等級別原価・複数作物・仕掛品・在庫管理は対象外です。</t>
  </si>
  <si>
    <t>生産費用には栽培・収穫まで、出荷費用には選別・梱包・配送を計上する例です。重複計上に注意。</t>
  </si>
  <si>
    <t>予定案件利益は入力費用に基づく管理用試算。会計上の売上総利益・営業利益とは一致しない場合があります。</t>
  </si>
  <si>
    <t>共通経費を含めない場合は「今回は未算入」を選択します。原価0円は実際に0円と判断したときだけ入力。</t>
  </si>
  <si>
    <t>業種削除：残す業種を選択 → 設定の不要業種行を削除 → 不要原価シートを削除。</t>
  </si>
  <si>
    <t>共通シート・計算・原価L:Nは計算に必要です。ロックはありませんが、数式を変更しないでください。</t>
  </si>
  <si>
    <t>見積書には原価・利益は出しません。ただしExcel本体には原価があるため、顧客へ渡すのはPDFです。</t>
  </si>
  <si>
    <t>試算値引率は整数0～100%。目標利益率は0%以上100%未満。原価増減率は-100%～1000%。</t>
  </si>
  <si>
    <t>商品別原価・売価は円単位四捨五入。税額は税率ごとの値引き後合計に対して円未満切捨て。</t>
  </si>
  <si>
    <t>見積書は10%・8%・0%の入力に対応。税区分の適用判断・適格請求書の発行機能は対象外です。</t>
  </si>
  <si>
    <t>下記互換性表は仕様の確認範囲。最古の動作保証バージョンは実機検証後に確定します。</t>
  </si>
  <si>
    <t>機能</t>
  </si>
  <si>
    <t>仕様確認範囲</t>
  </si>
  <si>
    <t>実機確認</t>
  </si>
  <si>
    <t>最古の保証版</t>
  </si>
  <si>
    <t>IF/SUMIFS/INDEX/MATCH等</t>
  </si>
  <si>
    <t>2016以降の公式資料を参照</t>
  </si>
  <si>
    <t>未実施</t>
  </si>
  <si>
    <t>未確定</t>
  </si>
  <si>
    <t>INDIRECTによる切替</t>
  </si>
  <si>
    <t>標準グラフ・入力規則</t>
  </si>
  <si>
    <t>対象Excelごとに要確認</t>
  </si>
  <si>
    <t>スクロールバー</t>
  </si>
  <si>
    <t>VML組込・操作は未検証</t>
  </si>
  <si>
    <t>印刷・PDF保存</t>
  </si>
  <si>
    <t>参考：https://support.microsoft.com/en-us/excel/functions/indirect-function</t>
  </si>
  <si>
    <t>参考：https://support.microsoft.com/en-us/excel/add-a-scroll-bar-or-spin-button-to-a-worksheet</t>
  </si>
  <si>
    <t>すべて架空の販売履歴です。現在の見積・予定案件利益には加算されません。</t>
  </si>
  <si>
    <t>税抜売上</t>
  </si>
  <si>
    <t>計上原価控除後差額</t>
  </si>
  <si>
    <t>差額は売上履歴の計上原価のみを控除。会計上の粗利・営業利益や現在の見積利益とは区別します。</t>
  </si>
  <si>
    <t>収納棚</t>
  </si>
  <si>
    <t>木製小物</t>
  </si>
  <si>
    <t>トマト箱</t>
  </si>
  <si>
    <t>米5kg</t>
  </si>
  <si>
    <t>季節の果物</t>
  </si>
  <si>
    <t>月</t>
  </si>
  <si>
    <t>商品</t>
  </si>
  <si>
    <t>架空の売上履歴  |  24か月 × 8商品 × 3件</t>
  </si>
  <si>
    <t>日付</t>
  </si>
  <si>
    <t>計上原価</t>
  </si>
  <si>
    <t>データ区分</t>
  </si>
  <si>
    <t>架空サンプル</t>
  </si>
  <si>
    <t>入力範囲は5〜580行（576件）。試作版では行数固定。実データの移行・追記範囲拡張は次版で対応。</t>
  </si>
  <si>
    <t>試作品の架空データです</t>
    <phoneticPr fontId="13"/>
  </si>
  <si>
    <t>年月</t>
  </si>
  <si>
    <t>年月</t>
    <phoneticPr fontId="13"/>
  </si>
  <si>
    <t>年</t>
  </si>
  <si>
    <t>年</t>
    <phoneticPr fontId="13"/>
  </si>
  <si>
    <t>月</t>
    <phoneticPr fontId="13"/>
  </si>
  <si>
    <t>商品マスタ</t>
  </si>
  <si>
    <t>商品の表示順と有効フラグを管理します。方式 A ではピボット・スライサーに未接続です。</t>
  </si>
  <si>
    <t>商品 ID</t>
  </si>
  <si>
    <t>商品名</t>
  </si>
  <si>
    <t>表示順</t>
  </si>
  <si>
    <t>有効</t>
  </si>
  <si>
    <t>P-01</t>
  </si>
  <si>
    <t>P-02</t>
  </si>
  <si>
    <t>P-03</t>
  </si>
  <si>
    <t>P-04</t>
  </si>
  <si>
    <t>P-05</t>
  </si>
  <si>
    <t>P-06</t>
  </si>
  <si>
    <t>P-07</t>
  </si>
  <si>
    <t>P-08</t>
  </si>
  <si>
    <t>スライサーは売上データの商品列を使用します。商品を追加する場合は売上データにも同じ商品名を登録してください。表示順はヒートマップの行順です。</t>
  </si>
  <si>
    <t>制御シート（ピボット・スライサー用。非表示）</t>
  </si>
  <si>
    <t>売上（万円）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</si>
  <si>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</si>
  <si>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</si>
  <si>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</si>
  <si>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</si>
  <si>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</si>
  <si>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</si>
  <si>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</si>
  <si>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</si>
  <si>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</si>
  <si>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</si>
  <si>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</si>
  <si>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</si>
  <si>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</si>
  <si>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</si>
  <si>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</si>
  <si>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</si>
  <si>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</si>
  <si>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</si>
  <si>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</si>
  <si>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</si>
  <si>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</si>
  <si>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</si>
  <si>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</si>
  <si>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</si>
  <si>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差額（万円）</t>
  </si>
  <si>
    <t>農家 集計</t>
  </si>
  <si>
    <t>木工所 集計</t>
  </si>
  <si>
    <t>売上合計</t>
  </si>
  <si>
    <t>差額合計</t>
  </si>
  <si>
    <t>売上分析</t>
  </si>
  <si>
    <t>商品と季節の動きをつかむ</t>
  </si>
  <si>
    <t>業種・商品スライサーとタイムラインに連動（前年比・前年比較は前年データを参照）</t>
  </si>
  <si>
    <t>税抜売上（円）</t>
  </si>
  <si>
    <t>計上原価控除後差額（円）</t>
  </si>
  <si>
    <t>差額率</t>
  </si>
  <si>
    <t>前年比</t>
  </si>
  <si>
    <t>商品×月ヒートマップ（万円）</t>
  </si>
  <si>
    <t>商品／年月</t>
  </si>
  <si>
    <t>推移</t>
  </si>
  <si>
    <t>ヒートマップは万円表示（四捨五入）。空欄はスライサー・タイムラインの選択範囲外です。</t>
  </si>
  <si>
    <t>商品マスタは方式 A のためピボット未接続。スライサーは売上データの商品列を使用します。商品を追加する場合は売上データにも登録してください。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</si>
</sst>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yyyy/mm/dd"/>
    <numFmt numFmtId="178" formatCode="#,##0&quot; 円&quot;"/>
    <numFmt numFmtId="183" formatCode="0&quot;万円&quot;"/>
  </numFmts>
  <fonts count="27">
    <font>
      <sz val="11"/>
      <name val="Carlito"/>
    </font>
    <font>
      <sz val="11"/>
      <color rgb="FF233E39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11"/>
      <color rgb="FF1354A0"/>
      <name val="Yu Gothic"/>
      <family val="3"/>
      <charset val="128"/>
    </font>
    <font>
      <sz val="10"/>
      <color rgb="FF536477"/>
      <name val="Yu Gothic"/>
      <family val="3"/>
      <charset val="128"/>
    </font>
    <font>
      <b/>
      <sz val="11"/>
      <color rgb="FFFFFFFF"/>
      <name val="Carlito"/>
    </font>
    <font>
      <sz val="10"/>
      <color rgb="FF536477"/>
      <name val="Carlito"/>
    </font>
    <font>
      <b/>
      <sz val="10"/>
      <color rgb="FF536477"/>
      <name val="Carlito"/>
    </font>
    <font>
      <b/>
      <sz val="20"/>
      <color rgb="FF07988A"/>
      <name val="Yu Gothic"/>
      <family val="3"/>
      <charset val="128"/>
    </font>
    <font>
      <b/>
      <sz val="11"/>
      <color rgb="FF07988A"/>
      <name val="Yu Gothic"/>
      <family val="3"/>
      <charset val="128"/>
    </font>
    <font>
      <b/>
      <sz val="17"/>
      <color rgb="FFFFFFFF"/>
      <name val="Yu Gothic"/>
      <family val="3"/>
      <charset val="128"/>
    </font>
    <font>
      <sz val="1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  <font>
      <b/>
      <sz val="18"/>
      <color rgb="FF1F5C4A"/>
      <name val="Carlito"/>
      <family val="2"/>
    </font>
    <font>
      <sz val="10"/>
      <color rgb="FF757575"/>
      <name val="Carlito"/>
      <family val="2"/>
    </font>
    <font>
      <b/>
      <sz val="11"/>
      <color rgb="FFFFFFFF"/>
      <name val="Carlito"/>
      <family val="2"/>
    </font>
    <font>
      <sz val="9"/>
      <color rgb="FF757575"/>
      <name val="Carlito"/>
      <family val="2"/>
    </font>
    <font>
      <sz val="10"/>
      <color rgb="FF404040"/>
      <name val="Yu Gothic UI"/>
      <family val="3"/>
      <charset val="128"/>
    </font>
    <font>
      <b/>
      <sz val="20"/>
      <color rgb="FF1F5C4A"/>
      <name val="Yu Gothic UI"/>
      <family val="3"/>
      <charset val="128"/>
    </font>
    <font>
      <sz val="11"/>
      <color rgb="FF757575"/>
      <name val="Yu Gothic UI"/>
      <family val="3"/>
      <charset val="128"/>
    </font>
    <font>
      <sz val="9"/>
      <color rgb="FF404040"/>
      <name val="Yu Gothic UI"/>
      <family val="3"/>
      <charset val="128"/>
    </font>
    <font>
      <sz val="9"/>
      <color rgb="FF757575"/>
      <name val="Yu Gothic UI"/>
      <family val="3"/>
      <charset val="128"/>
    </font>
    <font>
      <b/>
      <sz val="9"/>
      <color rgb="FF404040"/>
      <name val="Yu Gothic UI"/>
      <family val="3"/>
      <charset val="128"/>
    </font>
    <font>
      <b/>
      <sz val="9"/>
      <color rgb="FF1F5C4A"/>
      <name val="Yu Gothic UI"/>
      <family val="3"/>
      <charset val="128"/>
    </font>
    <font>
      <b/>
      <sz val="12"/>
      <color rgb="FF1F5C4A"/>
      <name val="Yu Gothic UI"/>
      <family val="3"/>
      <charset val="128"/>
    </font>
    <font>
      <b/>
      <sz val="9"/>
      <color rgb="FFFFFFFF"/>
      <name val="Yu Gothic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164D45"/>
      </patternFill>
    </fill>
    <fill>
      <patternFill patternType="solid">
        <fgColor rgb="FFE5F3EE"/>
      </patternFill>
    </fill>
    <fill>
      <patternFill patternType="solid">
        <fgColor rgb="FFF1F7F4"/>
      </patternFill>
    </fill>
    <fill>
      <patternFill patternType="solid">
        <fgColor rgb="FFE3F1EB"/>
      </patternFill>
    </fill>
    <fill>
      <patternFill patternType="solid">
        <fgColor rgb="FF1F5C4A"/>
        <bgColor indexed="64"/>
      </patternFill>
    </fill>
    <fill>
      <patternFill patternType="solid">
        <fgColor rgb="FFDDEFE3"/>
        <bgColor indexed="64"/>
      </patternFill>
    </fill>
    <fill>
      <patternFill patternType="solid">
        <fgColor rgb="FFFAFAF7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2" fillId="0" borderId="0"/>
  </cellStyleXfs>
  <cellXfs count="66">
    <xf numFmtId="0" fontId="0" fillId="0" borderId="0" xfId="0" applyProtection="1">
      <protection locked="0"/>
    </xf>
    <xf numFmtId="0" fontId="1" fillId="0" borderId="0" xfId="1" applyFont="1" applyAlignment="1" applyProtection="1">
      <alignment vertical="center"/>
      <protection locked="0"/>
    </xf>
    <xf numFmtId="0" fontId="2" fillId="2" borderId="0" xfId="1" applyFont="1" applyFill="1" applyAlignment="1" applyProtection="1">
      <alignment vertical="center" wrapText="1"/>
      <protection locked="0"/>
    </xf>
    <xf numFmtId="0" fontId="3" fillId="3" borderId="0" xfId="1" applyFont="1" applyFill="1" applyAlignment="1" applyProtection="1">
      <alignment vertical="center"/>
      <protection locked="0"/>
    </xf>
    <xf numFmtId="176" fontId="3" fillId="3" borderId="0" xfId="1" applyNumberFormat="1" applyFont="1" applyFill="1" applyAlignment="1" applyProtection="1">
      <alignment vertical="center"/>
      <protection locked="0"/>
    </xf>
    <xf numFmtId="177" fontId="3" fillId="3" borderId="0" xfId="1" applyNumberFormat="1" applyFont="1" applyFill="1" applyAlignment="1" applyProtection="1">
      <alignment vertical="center"/>
      <protection locked="0"/>
    </xf>
    <xf numFmtId="3" fontId="3" fillId="3" borderId="0" xfId="1" applyNumberFormat="1" applyFont="1" applyFill="1" applyAlignment="1" applyProtection="1">
      <alignment vertical="center"/>
      <protection locked="0"/>
    </xf>
    <xf numFmtId="3" fontId="1" fillId="0" borderId="0" xfId="1" applyNumberFormat="1" applyFont="1" applyAlignment="1" applyProtection="1">
      <alignment vertical="center"/>
      <protection locked="0"/>
    </xf>
    <xf numFmtId="9" fontId="3" fillId="3" borderId="0" xfId="1" applyNumberFormat="1" applyFont="1" applyFill="1" applyAlignment="1" applyProtection="1">
      <alignment vertical="center"/>
      <protection locked="0"/>
    </xf>
    <xf numFmtId="0" fontId="5" fillId="2" borderId="0" xfId="1" applyFont="1" applyFill="1" applyAlignment="1" applyProtection="1">
      <alignment wrapText="1"/>
      <protection locked="0"/>
    </xf>
    <xf numFmtId="0" fontId="6" fillId="4" borderId="0" xfId="1" applyFont="1" applyFill="1" applyProtection="1">
      <protection locked="0"/>
    </xf>
    <xf numFmtId="0" fontId="7" fillId="4" borderId="0" xfId="1" applyFont="1" applyFill="1" applyAlignment="1" applyProtection="1">
      <alignment wrapText="1"/>
      <protection locked="0"/>
    </xf>
    <xf numFmtId="4" fontId="3" fillId="3" borderId="0" xfId="1" applyNumberFormat="1" applyFont="1" applyFill="1" applyAlignment="1" applyProtection="1">
      <alignment vertical="center"/>
      <protection locked="0"/>
    </xf>
    <xf numFmtId="4" fontId="1" fillId="0" borderId="0" xfId="1" applyNumberFormat="1" applyFont="1" applyAlignment="1" applyProtection="1">
      <alignment vertical="center"/>
      <protection locked="0"/>
    </xf>
    <xf numFmtId="176" fontId="1" fillId="0" borderId="0" xfId="1" applyNumberFormat="1" applyFont="1" applyAlignment="1" applyProtection="1">
      <alignment vertical="center"/>
      <protection locked="0"/>
    </xf>
    <xf numFmtId="177" fontId="1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9" fontId="1" fillId="0" borderId="0" xfId="1" applyNumberFormat="1" applyFont="1" applyAlignment="1" applyProtection="1">
      <alignment vertical="center"/>
      <protection locked="0"/>
    </xf>
    <xf numFmtId="3" fontId="9" fillId="0" borderId="0" xfId="1" applyNumberFormat="1" applyFont="1" applyAlignment="1" applyProtection="1">
      <alignment vertical="center"/>
      <protection locked="0"/>
    </xf>
    <xf numFmtId="0" fontId="3" fillId="3" borderId="0" xfId="1" applyFont="1" applyFill="1" applyAlignment="1" applyProtection="1">
      <alignment vertical="center" wrapText="1"/>
      <protection locked="0"/>
    </xf>
    <xf numFmtId="0" fontId="11" fillId="0" borderId="0" xfId="1" applyFont="1" applyProtection="1">
      <protection locked="0"/>
    </xf>
    <xf numFmtId="177" fontId="11" fillId="0" borderId="0" xfId="1" applyNumberFormat="1" applyFont="1" applyProtection="1">
      <protection locked="0"/>
    </xf>
    <xf numFmtId="3" fontId="11" fillId="0" borderId="0" xfId="1" applyNumberFormat="1" applyFont="1" applyProtection="1">
      <protection locked="0"/>
    </xf>
    <xf numFmtId="0" fontId="1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10" fillId="2" borderId="0" xfId="1" applyFont="1" applyFill="1" applyAlignment="1" applyProtection="1">
      <alignment vertical="center"/>
      <protection locked="0"/>
    </xf>
    <xf numFmtId="178" fontId="8" fillId="5" borderId="0" xfId="1" applyNumberFormat="1" applyFont="1" applyFill="1" applyAlignment="1" applyProtection="1">
      <alignment vertical="center"/>
      <protection locked="0"/>
    </xf>
    <xf numFmtId="176" fontId="8" fillId="5" borderId="0" xfId="1" applyNumberFormat="1" applyFont="1" applyFill="1" applyAlignment="1" applyProtection="1">
      <alignment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3" fontId="1" fillId="0" borderId="0" xfId="1" applyNumberFormat="1" applyFont="1" applyAlignment="1" applyProtection="1">
      <alignment vertical="center"/>
      <protection locked="0"/>
    </xf>
    <xf numFmtId="178" fontId="8" fillId="4" borderId="0" xfId="1" applyNumberFormat="1" applyFont="1" applyFill="1" applyAlignment="1" applyProtection="1">
      <alignment vertical="center"/>
      <protection locked="0"/>
    </xf>
    <xf numFmtId="0" fontId="3" fillId="3" borderId="0" xfId="1" applyFont="1" applyFill="1" applyAlignment="1" applyProtection="1">
      <alignment vertical="center"/>
      <protection locked="0"/>
    </xf>
    <xf numFmtId="0" fontId="3" fillId="3" borderId="0" xfId="1" applyFont="1" applyFill="1" applyAlignment="1" applyProtection="1">
      <alignment vertical="top" wrapText="1"/>
      <protection locked="0"/>
    </xf>
    <xf numFmtId="4" fontId="4" fillId="0" borderId="0" xfId="1" applyNumberFormat="1" applyFont="1" applyAlignment="1" applyProtection="1">
      <alignment vertical="center" wrapText="1"/>
      <protection locked="0"/>
    </xf>
    <xf numFmtId="0" fontId="6" fillId="0" borderId="0" xfId="1" applyFont="1" applyAlignment="1" applyProtection="1">
      <alignment wrapText="1"/>
      <protection locked="0"/>
    </xf>
    <xf numFmtId="0" fontId="11" fillId="0" borderId="0" xfId="1" applyFont="1" applyFill="1" applyProtection="1">
      <protection locked="0"/>
    </xf>
    <xf numFmtId="0" fontId="2" fillId="2" borderId="0" xfId="1" applyFont="1" applyFill="1" applyAlignment="1" applyProtection="1">
      <alignment horizontal="center" vertical="center" wrapText="1"/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wrapText="1"/>
      <protection locked="0"/>
    </xf>
    <xf numFmtId="0" fontId="16" fillId="6" borderId="0" xfId="0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7" fillId="7" borderId="0" xfId="0" applyFont="1" applyFill="1" applyAlignment="1" applyProtection="1">
      <alignment horizontal="left" vertical="center" wrapText="1"/>
      <protection locked="0"/>
    </xf>
    <xf numFmtId="0" fontId="0" fillId="0" borderId="0" xfId="0" pivotButton="1" applyProtection="1">
      <protection locked="0"/>
    </xf>
    <xf numFmtId="3" fontId="0" fillId="0" borderId="0" xfId="0" applyNumberFormat="1" applyProtection="1">
      <protection locked="0"/>
    </xf>
    <xf numFmtId="183" fontId="0" fillId="0" borderId="0" xfId="0" applyNumberFormat="1" applyProtection="1">
      <protection locked="0"/>
    </xf>
    <xf numFmtId="0" fontId="18" fillId="8" borderId="0" xfId="0" applyFont="1" applyFill="1" applyProtection="1">
      <protection locked="0"/>
    </xf>
    <xf numFmtId="0" fontId="19" fillId="8" borderId="0" xfId="0" applyFont="1" applyFill="1" applyProtection="1">
      <protection locked="0"/>
    </xf>
    <xf numFmtId="0" fontId="18" fillId="8" borderId="0" xfId="0" applyFont="1" applyFill="1" applyProtection="1">
      <protection locked="0"/>
    </xf>
    <xf numFmtId="0" fontId="20" fillId="8" borderId="0" xfId="0" applyFont="1" applyFill="1" applyAlignment="1" applyProtection="1">
      <alignment vertical="center"/>
      <protection locked="0"/>
    </xf>
    <xf numFmtId="0" fontId="18" fillId="8" borderId="0" xfId="0" applyFont="1" applyFill="1" applyAlignment="1" applyProtection="1">
      <alignment vertical="center"/>
      <protection locked="0"/>
    </xf>
    <xf numFmtId="0" fontId="22" fillId="8" borderId="0" xfId="0" applyFont="1" applyFill="1" applyProtection="1">
      <protection locked="0"/>
    </xf>
    <xf numFmtId="0" fontId="18" fillId="7" borderId="0" xfId="0" applyFont="1" applyFill="1" applyProtection="1">
      <protection locked="0"/>
    </xf>
    <xf numFmtId="0" fontId="22" fillId="8" borderId="0" xfId="0" applyFont="1" applyFill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0" fontId="18" fillId="7" borderId="1" xfId="0" applyFont="1" applyFill="1" applyBorder="1" applyAlignment="1" applyProtection="1">
      <alignment horizontal="center" vertical="center"/>
      <protection locked="0"/>
    </xf>
    <xf numFmtId="0" fontId="18" fillId="9" borderId="1" xfId="0" applyFont="1" applyFill="1" applyBorder="1" applyAlignment="1" applyProtection="1">
      <alignment horizontal="center" vertical="center"/>
      <protection locked="0"/>
    </xf>
    <xf numFmtId="3" fontId="19" fillId="9" borderId="1" xfId="0" applyNumberFormat="1" applyFont="1" applyFill="1" applyBorder="1" applyAlignment="1" applyProtection="1">
      <alignment horizontal="center" vertical="center"/>
      <protection locked="0"/>
    </xf>
    <xf numFmtId="176" fontId="19" fillId="9" borderId="1" xfId="0" applyNumberFormat="1" applyFont="1" applyFill="1" applyBorder="1" applyAlignment="1" applyProtection="1">
      <alignment horizontal="center" vertical="center"/>
      <protection locked="0"/>
    </xf>
    <xf numFmtId="0" fontId="22" fillId="8" borderId="0" xfId="0" applyFont="1" applyFill="1" applyAlignment="1" applyProtection="1">
      <alignment vertical="center" wrapText="1"/>
      <protection locked="0"/>
    </xf>
    <xf numFmtId="0" fontId="18" fillId="8" borderId="0" xfId="0" applyFont="1" applyFill="1" applyAlignment="1" applyProtection="1">
      <alignment vertical="center" wrapText="1"/>
      <protection locked="0"/>
    </xf>
    <xf numFmtId="0" fontId="25" fillId="8" borderId="0" xfId="0" applyFont="1" applyFill="1" applyProtection="1">
      <protection locked="0"/>
    </xf>
    <xf numFmtId="0" fontId="26" fillId="6" borderId="2" xfId="0" applyFont="1" applyFill="1" applyBorder="1" applyAlignment="1" applyProtection="1">
      <alignment horizontal="center" vertical="center"/>
      <protection locked="0"/>
    </xf>
    <xf numFmtId="0" fontId="23" fillId="7" borderId="1" xfId="0" applyFont="1" applyFill="1" applyBorder="1" applyAlignment="1" applyProtection="1">
      <alignment vertical="center"/>
      <protection locked="0"/>
    </xf>
    <xf numFmtId="183" fontId="21" fillId="8" borderId="1" xfId="0" applyNumberFormat="1" applyFont="1" applyFill="1" applyBorder="1" applyAlignment="1" applyProtection="1">
      <alignment horizontal="center" vertical="center"/>
      <protection locked="0"/>
    </xf>
    <xf numFmtId="0" fontId="22" fillId="7" borderId="0" xfId="0" applyFont="1" applyFill="1" applyAlignment="1" applyProtection="1">
      <alignment vertical="center" wrapText="1"/>
      <protection locked="0"/>
    </xf>
  </cellXfs>
  <cellStyles count="2">
    <cellStyle name="Normal" xfId="1" xr:uid="{00000000-0005-0000-0000-000000000000}"/>
    <cellStyle name="標準" xfId="0" builtinId="0"/>
  </cellStyles>
  <dxfs count="16">
    <dxf>
      <fill>
        <patternFill patternType="none"/>
      </fill>
    </dxf>
    <dxf>
      <protection locked="0" hidden="0"/>
    </dxf>
    <dxf>
      <font>
        <b/>
        <color rgb="FFFFFFFF"/>
      </font>
      <fill>
        <patternFill patternType="solid">
          <fgColor indexed="64"/>
          <bgColor rgb="FF1F5C4A"/>
        </patternFill>
      </fill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"/>
        <family val="3"/>
        <charset val="128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"/>
        <family val="3"/>
        <charset val="128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Yu Gothic"/>
        <family val="3"/>
        <charset val="128"/>
        <scheme val="none"/>
      </font>
      <protection locked="0" hidden="0"/>
    </dxf>
    <dxf>
      <font>
        <b/>
        <color rgb="FFFFFFFF"/>
      </font>
    </dxf>
    <dxf>
      <font>
        <b/>
        <color rgb="FF9D2828"/>
      </font>
      <fill>
        <patternFill patternType="solid">
          <bgColor rgb="FFFBE9E7"/>
        </patternFill>
      </fill>
    </dxf>
    <dxf>
      <font>
        <b/>
        <color rgb="FF9D2828"/>
      </font>
      <fill>
        <patternFill patternType="solid">
          <bgColor rgb="FFFBE9E7"/>
        </patternFill>
      </fill>
    </dxf>
    <dxf>
      <font>
        <b/>
        <color rgb="FF9D2828"/>
      </font>
      <fill>
        <patternFill patternType="solid">
          <bgColor rgb="FFFBE9E7"/>
        </patternFill>
      </fill>
    </dxf>
    <dxf>
      <font>
        <color rgb="FF9D2828"/>
      </font>
      <fill>
        <patternFill patternType="solid">
          <bgColor rgb="FFFB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 sz="975">
                <a:latin typeface="Yu Gothic"/>
                <a:ea typeface="Yu Gothic"/>
                <a:cs typeface="Yu Gothic"/>
              </a:rPr>
              <a:t>基準と試算の比較（円）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基準</c:v>
          </c:tx>
          <c:spPr>
            <a:solidFill>
              <a:srgbClr val="B2CF69"/>
            </a:solidFill>
          </c:spPr>
          <c:invertIfNegative val="0"/>
          <c:cat>
            <c:strRef>
              <c:f>計算!$L$30:$L$32</c:f>
              <c:strCache>
                <c:ptCount val="3"/>
                <c:pt idx="0">
                  <c:v>売上</c:v>
                </c:pt>
                <c:pt idx="1">
                  <c:v>原価</c:v>
                </c:pt>
                <c:pt idx="2">
                  <c:v>利益</c:v>
                </c:pt>
              </c:strCache>
            </c:strRef>
          </c:cat>
          <c:val>
            <c:numRef>
              <c:f>計算!$M$30:$M$32</c:f>
              <c:numCache>
                <c:formatCode>General</c:formatCode>
                <c:ptCount val="3"/>
                <c:pt idx="0">
                  <c:v>160000</c:v>
                </c:pt>
                <c:pt idx="1">
                  <c:v>88000</c:v>
                </c:pt>
                <c:pt idx="2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F-41C6-B640-E2431A7DB5E6}"/>
            </c:ext>
          </c:extLst>
        </c:ser>
        <c:ser>
          <c:idx val="1"/>
          <c:order val="1"/>
          <c:tx>
            <c:v>試算</c:v>
          </c:tx>
          <c:spPr>
            <a:solidFill>
              <a:srgbClr val="07988A"/>
            </a:solidFill>
          </c:spPr>
          <c:invertIfNegative val="0"/>
          <c:cat>
            <c:strRef>
              <c:f>計算!$L$30:$L$32</c:f>
              <c:strCache>
                <c:ptCount val="3"/>
                <c:pt idx="0">
                  <c:v>売上</c:v>
                </c:pt>
                <c:pt idx="1">
                  <c:v>原価</c:v>
                </c:pt>
                <c:pt idx="2">
                  <c:v>利益</c:v>
                </c:pt>
              </c:strCache>
            </c:strRef>
          </c:cat>
          <c:val>
            <c:numRef>
              <c:f>計算!$N$30:$N$32</c:f>
              <c:numCache>
                <c:formatCode>General</c:formatCode>
                <c:ptCount val="3"/>
                <c:pt idx="0">
                  <c:v>160000</c:v>
                </c:pt>
                <c:pt idx="1">
                  <c:v>88000</c:v>
                </c:pt>
                <c:pt idx="2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F-41C6-B640-E2431A7DB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 sz="975">
                <a:latin typeface="Yu Gothic"/>
                <a:ea typeface="Yu Gothic"/>
                <a:cs typeface="Yu Gothic"/>
              </a:rPr>
              <a:t>値引率と利益（概算・円）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利益(円)</c:v>
          </c:tx>
          <c:spPr>
            <a:ln w="19050">
              <a:solidFill>
                <a:srgbClr val="07988A"/>
              </a:solidFill>
              <a:prstDash val="solid"/>
            </a:ln>
          </c:spPr>
          <c:marker>
            <c:symbol val="none"/>
          </c:marker>
          <c:cat>
            <c:strRef>
              <c:f>計算!$L$36:$L$46</c:f>
              <c:strCache>
                <c:ptCount val="11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  <c:pt idx="7">
                  <c:v>35%</c:v>
                </c:pt>
                <c:pt idx="8">
                  <c:v>40%</c:v>
                </c:pt>
                <c:pt idx="9">
                  <c:v>45%</c:v>
                </c:pt>
                <c:pt idx="10">
                  <c:v>50%</c:v>
                </c:pt>
              </c:strCache>
            </c:strRef>
          </c:cat>
          <c:val>
            <c:numRef>
              <c:f>計算!$M$36:$M$46</c:f>
              <c:numCache>
                <c:formatCode>General</c:formatCode>
                <c:ptCount val="11"/>
                <c:pt idx="0">
                  <c:v>72000</c:v>
                </c:pt>
                <c:pt idx="1">
                  <c:v>64000</c:v>
                </c:pt>
                <c:pt idx="2">
                  <c:v>56000</c:v>
                </c:pt>
                <c:pt idx="3">
                  <c:v>48000</c:v>
                </c:pt>
                <c:pt idx="4">
                  <c:v>40000</c:v>
                </c:pt>
                <c:pt idx="5">
                  <c:v>32000</c:v>
                </c:pt>
                <c:pt idx="6">
                  <c:v>24000</c:v>
                </c:pt>
                <c:pt idx="7">
                  <c:v>16000</c:v>
                </c:pt>
                <c:pt idx="8">
                  <c:v>8000</c:v>
                </c:pt>
                <c:pt idx="9">
                  <c:v>0</c:v>
                </c:pt>
                <c:pt idx="10">
                  <c:v>-8000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0-444B-9518-5CBB24FB0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[prototype_v04.xlsx]制御!PT-03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rgbClr val="404040"/>
                </a:solidFill>
                <a:latin typeface="Yu Gothic UI"/>
                <a:ea typeface="Yu Gothic UI"/>
                <a:cs typeface="Yu Gothic UI"/>
              </a:defRPr>
            </a:pPr>
            <a:r>
              <a:rPr lang="ja-JP"/>
              <a:t>月別推移（万円）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rgbClr val="404040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title>
    <c:autoTitleDeleted val="0"/>
    <c:pivotFmts>
      <c:pivotFmt>
        <c:idx val="0"/>
        <c:spPr>
          <a:ln w="28575" cap="rnd">
            <a:solidFill>
              <a:srgbClr val="2E9E8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404040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8CC63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404040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制御!$B$26</c:f>
              <c:strCache>
                <c:ptCount val="1"/>
                <c:pt idx="0">
                  <c:v>売上（万円）</c:v>
                </c:pt>
              </c:strCache>
            </c:strRef>
          </c:tx>
          <c:spPr>
            <a:ln w="28575" cap="rnd">
              <a:solidFill>
                <a:srgbClr val="2E9E8F"/>
              </a:solidFill>
              <a:round/>
            </a:ln>
            <a:effectLst/>
          </c:spPr>
          <c:marker>
            <c:symbol val="none"/>
          </c:marker>
          <c:cat>
            <c:strRef>
              <c:f>制御!$A$27:$A$38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制御!$B$27:$B$38</c:f>
              <c:numCache>
                <c:formatCode>0"万円"</c:formatCode>
                <c:ptCount val="12"/>
                <c:pt idx="0">
                  <c:v>433.33</c:v>
                </c:pt>
                <c:pt idx="1">
                  <c:v>384.89</c:v>
                </c:pt>
                <c:pt idx="2">
                  <c:v>370.79</c:v>
                </c:pt>
                <c:pt idx="3">
                  <c:v>380.83</c:v>
                </c:pt>
                <c:pt idx="4">
                  <c:v>421.98</c:v>
                </c:pt>
                <c:pt idx="5">
                  <c:v>402.44</c:v>
                </c:pt>
                <c:pt idx="6">
                  <c:v>359.44</c:v>
                </c:pt>
                <c:pt idx="7">
                  <c:v>393.79</c:v>
                </c:pt>
                <c:pt idx="8">
                  <c:v>410.63</c:v>
                </c:pt>
                <c:pt idx="9">
                  <c:v>452.63</c:v>
                </c:pt>
                <c:pt idx="10">
                  <c:v>348.09</c:v>
                </c:pt>
                <c:pt idx="11">
                  <c:v>390.43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F3-4BC9-9D21-EC72BC84D97F}"/>
            </c:ext>
          </c:extLst>
        </c:ser>
        <c:ser>
          <c:idx val="1"/>
          <c:order val="1"/>
          <c:tx>
            <c:strRef>
              <c:f>制御!$C$26</c:f>
              <c:strCache>
                <c:ptCount val="1"/>
                <c:pt idx="0">
                  <c:v>差額（万円）</c:v>
                </c:pt>
              </c:strCache>
            </c:strRef>
          </c:tx>
          <c:spPr>
            <a:ln w="28575" cap="rnd">
              <a:solidFill>
                <a:srgbClr val="8CC63F"/>
              </a:solidFill>
              <a:round/>
            </a:ln>
            <a:effectLst/>
          </c:spPr>
          <c:marker>
            <c:symbol val="none"/>
          </c:marker>
          <c:cat>
            <c:strRef>
              <c:f>制御!$A$27:$A$38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制御!$C$27:$C$38</c:f>
              <c:numCache>
                <c:formatCode>0"万円"</c:formatCode>
                <c:ptCount val="12"/>
                <c:pt idx="0">
                  <c:v>176.4256</c:v>
                </c:pt>
                <c:pt idx="1">
                  <c:v>131.0564</c:v>
                </c:pt>
                <c:pt idx="2">
                  <c:v>146.38820000000001</c:v>
                </c:pt>
                <c:pt idx="3">
                  <c:v>147.50319999999999</c:v>
                </c:pt>
                <c:pt idx="4">
                  <c:v>191.7936</c:v>
                </c:pt>
                <c:pt idx="5">
                  <c:v>167.852</c:v>
                </c:pt>
                <c:pt idx="6">
                  <c:v>126.41079999999999</c:v>
                </c:pt>
                <c:pt idx="7">
                  <c:v>154.37860000000001</c:v>
                </c:pt>
                <c:pt idx="8">
                  <c:v>158.87960000000001</c:v>
                </c:pt>
                <c:pt idx="9">
                  <c:v>206.53700000000001</c:v>
                </c:pt>
                <c:pt idx="10">
                  <c:v>140.81639999999999</c:v>
                </c:pt>
                <c:pt idx="11">
                  <c:v>137.2012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F3-4BC9-9D21-EC72BC84D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3562032"/>
        <c:axId val="1073590352"/>
      </c:lineChart>
      <c:catAx>
        <c:axId val="10735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04040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1073590352"/>
        <c:crosses val="autoZero"/>
        <c:auto val="1"/>
        <c:lblAlgn val="ctr"/>
        <c:lblOffset val="100"/>
        <c:noMultiLvlLbl val="0"/>
      </c:catAx>
      <c:valAx>
        <c:axId val="1073590352"/>
        <c:scaling>
          <c:orientation val="minMax"/>
        </c:scaling>
        <c:delete val="0"/>
        <c:axPos val="l"/>
        <c:numFmt formatCode="0&quot;万円&quot;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04040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107356203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404040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rgbClr val="404040"/>
          </a:solidFill>
          <a:latin typeface="Yu Gothic UI"/>
          <a:ea typeface="Yu Gothic UI"/>
          <a:cs typeface="Yu Gothic UI"/>
        </a:defRPr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[prototype_v04.xlsx]制御!PT-08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rgbClr val="404040"/>
                </a:solidFill>
                <a:latin typeface="Yu Gothic UI"/>
                <a:ea typeface="Yu Gothic UI"/>
                <a:cs typeface="Yu Gothic UI"/>
              </a:defRPr>
            </a:pPr>
            <a:r>
              <a:rPr lang="ja-JP"/>
              <a:t>前年比較（万円）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rgbClr val="404040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rgbClr val="DDEFE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404040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E9E8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404040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制御!$I$28:$I$29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DDEFE3"/>
            </a:solidFill>
            <a:ln>
              <a:noFill/>
            </a:ln>
            <a:effectLst/>
          </c:spPr>
          <c:invertIfNegative val="0"/>
          <c:cat>
            <c:strRef>
              <c:f>制御!$H$30:$H$41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制御!$I$30:$I$41</c:f>
              <c:numCache>
                <c:formatCode>0"万円"</c:formatCode>
                <c:ptCount val="12"/>
                <c:pt idx="0">
                  <c:v>399.28</c:v>
                </c:pt>
                <c:pt idx="1">
                  <c:v>439.24</c:v>
                </c:pt>
                <c:pt idx="2">
                  <c:v>421.74</c:v>
                </c:pt>
                <c:pt idx="3">
                  <c:v>375.34</c:v>
                </c:pt>
                <c:pt idx="4">
                  <c:v>413.43</c:v>
                </c:pt>
                <c:pt idx="5">
                  <c:v>433.33</c:v>
                </c:pt>
                <c:pt idx="6">
                  <c:v>384.89</c:v>
                </c:pt>
                <c:pt idx="7">
                  <c:v>370.79</c:v>
                </c:pt>
                <c:pt idx="8">
                  <c:v>380.83</c:v>
                </c:pt>
                <c:pt idx="9">
                  <c:v>421.98</c:v>
                </c:pt>
                <c:pt idx="10">
                  <c:v>402.44</c:v>
                </c:pt>
                <c:pt idx="11">
                  <c:v>359.44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13-4FF8-BCD0-447CF29BE5CA}"/>
            </c:ext>
          </c:extLst>
        </c:ser>
        <c:ser>
          <c:idx val="1"/>
          <c:order val="1"/>
          <c:tx>
            <c:strRef>
              <c:f>制御!$J$28:$J$29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E9E8F"/>
            </a:solidFill>
            <a:ln>
              <a:noFill/>
            </a:ln>
            <a:effectLst/>
          </c:spPr>
          <c:invertIfNegative val="0"/>
          <c:cat>
            <c:strRef>
              <c:f>制御!$H$30:$H$41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制御!$J$30:$J$41</c:f>
              <c:numCache>
                <c:formatCode>0"万円"</c:formatCode>
                <c:ptCount val="12"/>
                <c:pt idx="0">
                  <c:v>433.33</c:v>
                </c:pt>
                <c:pt idx="1">
                  <c:v>384.89</c:v>
                </c:pt>
                <c:pt idx="2">
                  <c:v>370.79</c:v>
                </c:pt>
                <c:pt idx="3">
                  <c:v>380.83</c:v>
                </c:pt>
                <c:pt idx="4">
                  <c:v>421.98</c:v>
                </c:pt>
                <c:pt idx="5">
                  <c:v>402.44</c:v>
                </c:pt>
                <c:pt idx="6">
                  <c:v>359.44</c:v>
                </c:pt>
                <c:pt idx="7">
                  <c:v>393.79</c:v>
                </c:pt>
                <c:pt idx="8">
                  <c:v>410.63</c:v>
                </c:pt>
                <c:pt idx="9">
                  <c:v>452.63</c:v>
                </c:pt>
                <c:pt idx="10">
                  <c:v>348.09</c:v>
                </c:pt>
                <c:pt idx="11">
                  <c:v>390.43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13-4FF8-BCD0-447CF29BE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073589872"/>
        <c:axId val="1073594672"/>
      </c:barChart>
      <c:catAx>
        <c:axId val="107358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04040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1073594672"/>
        <c:crosses val="autoZero"/>
        <c:auto val="1"/>
        <c:lblAlgn val="ctr"/>
        <c:lblOffset val="100"/>
        <c:noMultiLvlLbl val="0"/>
      </c:catAx>
      <c:valAx>
        <c:axId val="1073594672"/>
        <c:scaling>
          <c:orientation val="minMax"/>
        </c:scaling>
        <c:delete val="0"/>
        <c:axPos val="l"/>
        <c:numFmt formatCode="0&quot;万円&quot;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04040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107358987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404040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rgbClr val="404040"/>
          </a:solidFill>
          <a:latin typeface="Yu Gothic UI"/>
          <a:ea typeface="Yu Gothic UI"/>
          <a:cs typeface="Yu Gothic UI"/>
        </a:defRPr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[prototype_v04.xlsx]制御!PT-02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rgbClr val="404040"/>
                </a:solidFill>
                <a:latin typeface="Yu Gothic UI"/>
                <a:ea typeface="Yu Gothic UI"/>
                <a:cs typeface="Yu Gothic UI"/>
              </a:defRPr>
            </a:pPr>
            <a:r>
              <a:rPr lang="ja-JP"/>
              <a:t>商品別ランキング（万円）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rgbClr val="404040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rgbClr val="2E9E8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404040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制御!$B$12</c:f>
              <c:strCache>
                <c:ptCount val="1"/>
                <c:pt idx="0">
                  <c:v>集計</c:v>
                </c:pt>
              </c:strCache>
            </c:strRef>
          </c:tx>
          <c:spPr>
            <a:solidFill>
              <a:srgbClr val="2E9E8F"/>
            </a:solidFill>
            <a:ln>
              <a:noFill/>
            </a:ln>
            <a:effectLst/>
          </c:spPr>
          <c:invertIfNegative val="0"/>
          <c:cat>
            <c:strRef>
              <c:f>制御!$A$13:$A$20</c:f>
              <c:strCache>
                <c:ptCount val="8"/>
                <c:pt idx="0">
                  <c:v>テーブル</c:v>
                </c:pt>
                <c:pt idx="1">
                  <c:v>収納棚</c:v>
                </c:pt>
                <c:pt idx="2">
                  <c:v>椅子</c:v>
                </c:pt>
                <c:pt idx="3">
                  <c:v>季節の果物</c:v>
                </c:pt>
                <c:pt idx="4">
                  <c:v>米5kg</c:v>
                </c:pt>
                <c:pt idx="5">
                  <c:v>野菜5kg箱</c:v>
                </c:pt>
                <c:pt idx="6">
                  <c:v>トマト箱</c:v>
                </c:pt>
                <c:pt idx="7">
                  <c:v>木製小物</c:v>
                </c:pt>
              </c:strCache>
            </c:strRef>
          </c:cat>
          <c:val>
            <c:numRef>
              <c:f>制御!$B$13:$B$20</c:f>
              <c:numCache>
                <c:formatCode>0"万円"</c:formatCode>
                <c:ptCount val="8"/>
                <c:pt idx="0">
                  <c:v>1745</c:v>
                </c:pt>
                <c:pt idx="1">
                  <c:v>1263.5</c:v>
                </c:pt>
                <c:pt idx="2">
                  <c:v>532.5</c:v>
                </c:pt>
                <c:pt idx="3">
                  <c:v>408.8</c:v>
                </c:pt>
                <c:pt idx="4">
                  <c:v>325.12</c:v>
                </c:pt>
                <c:pt idx="5">
                  <c:v>200.8</c:v>
                </c:pt>
                <c:pt idx="6">
                  <c:v>181.8</c:v>
                </c:pt>
                <c:pt idx="7">
                  <c:v>91.75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F5-453F-8065-14324BB03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73595632"/>
        <c:axId val="1073579312"/>
      </c:barChart>
      <c:catAx>
        <c:axId val="10735956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04040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1073579312"/>
        <c:crosses val="autoZero"/>
        <c:auto val="1"/>
        <c:lblAlgn val="ctr"/>
        <c:lblOffset val="100"/>
        <c:noMultiLvlLbl val="0"/>
      </c:catAx>
      <c:valAx>
        <c:axId val="1073579312"/>
        <c:scaling>
          <c:orientation val="minMax"/>
        </c:scaling>
        <c:delete val="0"/>
        <c:axPos val="t"/>
        <c:numFmt formatCode="0&quot;万円&quot;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04040"/>
                </a:solidFill>
                <a:latin typeface="Yu Gothic UI"/>
                <a:ea typeface="Yu Gothic UI"/>
                <a:cs typeface="Yu Gothic UI"/>
              </a:defRPr>
            </a:pPr>
            <a:endParaRPr lang="ja-JP"/>
          </a:p>
        </c:txPr>
        <c:crossAx val="107359563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rgbClr val="404040"/>
          </a:solidFill>
          <a:latin typeface="Yu Gothic UI"/>
          <a:ea typeface="Yu Gothic UI"/>
          <a:cs typeface="Yu Gothic UI"/>
        </a:defRPr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[prototype_v04.xlsx]制御!PT-01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rgbClr val="404040"/>
                </a:solidFill>
                <a:latin typeface="Yu Gothic UI"/>
                <a:ea typeface="Yu Gothic UI"/>
                <a:cs typeface="Yu Gothic UI"/>
              </a:defRPr>
            </a:pPr>
            <a:r>
              <a:rPr lang="ja-JP"/>
              <a:t>業種構成（万円）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rgbClr val="404040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404040"/>
                  </a:solidFill>
                  <a:latin typeface="Yu Gothic UI"/>
                  <a:ea typeface="Yu Gothic UI"/>
                  <a:cs typeface="Yu Gothic UI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E9E8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8CC63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制御!$B$2</c:f>
              <c:strCache>
                <c:ptCount val="1"/>
                <c:pt idx="0">
                  <c:v>集計</c:v>
                </c:pt>
              </c:strCache>
            </c:strRef>
          </c:tx>
          <c:dPt>
            <c:idx val="0"/>
            <c:bubble3D val="0"/>
            <c:spPr>
              <a:solidFill>
                <a:srgbClr val="2E9E8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0C-47F2-81CE-A062072C3F94}"/>
              </c:ext>
            </c:extLst>
          </c:dPt>
          <c:dPt>
            <c:idx val="1"/>
            <c:bubble3D val="0"/>
            <c:spPr>
              <a:solidFill>
                <a:srgbClr val="8CC6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30C-47F2-81CE-A062072C3F94}"/>
              </c:ext>
            </c:extLst>
          </c:dPt>
          <c:cat>
            <c:strRef>
              <c:f>制御!$A$3:$A$4</c:f>
              <c:strCache>
                <c:ptCount val="2"/>
                <c:pt idx="0">
                  <c:v>農家</c:v>
                </c:pt>
                <c:pt idx="1">
                  <c:v>木工所</c:v>
                </c:pt>
              </c:strCache>
            </c:strRef>
          </c:cat>
          <c:val>
            <c:numRef>
              <c:f>制御!$B$3:$B$4</c:f>
              <c:numCache>
                <c:formatCode>0"万円"</c:formatCode>
                <c:ptCount val="2"/>
                <c:pt idx="0">
                  <c:v>1116.52</c:v>
                </c:pt>
                <c:pt idx="1">
                  <c:v>3632.75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C-47F2-81CE-A062072C3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404040"/>
              </a:solidFill>
              <a:latin typeface="Yu Gothic UI"/>
              <a:ea typeface="Yu Gothic UI"/>
              <a:cs typeface="Yu Gothic UI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rgbClr val="404040"/>
          </a:solidFill>
          <a:latin typeface="Yu Gothic UI"/>
          <a:ea typeface="Yu Gothic UI"/>
          <a:cs typeface="Yu Gothic UI"/>
        </a:defRPr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16" fmlaLink="採算シミュレーション!$B$9" horiz="1" max="100" page="5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11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29</xdr:row>
      <xdr:rowOff>266700</xdr:rowOff>
    </xdr:to>
    <xdr:sp macro="" textlink="">
      <xdr:nvSpPr>
        <xdr:cNvPr id="10007" name="Text Box 1815" hidden="1">
          <a:extLst>
            <a:ext uri="{FF2B5EF4-FFF2-40B4-BE49-F238E27FC236}">
              <a16:creationId xmlns:a16="http://schemas.microsoft.com/office/drawing/2014/main" id="{5F870561-CE36-FD80-72F3-97D24019675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19050</xdr:colOff>
          <xdr:row>9</xdr:row>
          <xdr:rowOff>19050</xdr:rowOff>
        </xdr:from>
        <xdr:to>
          <xdr:col>3</xdr:col>
          <xdr:colOff>0</xdr:colOff>
          <xdr:row>10</xdr:row>
          <xdr:rowOff>0</xdr:rowOff>
        </xdr:to>
        <xdr:sp macro="" textlink="">
          <xdr:nvSpPr>
            <xdr:cNvPr id="9999" name="Scroll Bar 1807" hidden="1">
              <a:extLst>
                <a:ext uri="{63B3BB69-23CF-44E3-9099-C40C66FF867C}">
                  <a14:compatExt spid="_x0000_s9999"/>
                </a:ext>
                <a:ext uri="{FF2B5EF4-FFF2-40B4-BE49-F238E27FC236}">
                  <a16:creationId xmlns:a16="http://schemas.microsoft.com/office/drawing/2014/main" id="{00000000-0008-0000-0000-00000F2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6</xdr:col>
      <xdr:colOff>762000</xdr:colOff>
      <xdr:row>29</xdr:row>
      <xdr:rowOff>266700</xdr:rowOff>
    </xdr:to>
    <xdr:sp macro="" textlink="">
      <xdr:nvSpPr>
        <xdr:cNvPr id="4" name="AutoShape 1815">
          <a:extLst>
            <a:ext uri="{FF2B5EF4-FFF2-40B4-BE49-F238E27FC236}">
              <a16:creationId xmlns:a16="http://schemas.microsoft.com/office/drawing/2014/main" id="{B11C31B6-D0CD-A99E-FFB9-2AD81A2C85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27</xdr:row>
      <xdr:rowOff>190500</xdr:rowOff>
    </xdr:to>
    <xdr:sp macro="" textlink="">
      <xdr:nvSpPr>
        <xdr:cNvPr id="10250" name="Text Box 10" hidden="1">
          <a:extLst>
            <a:ext uri="{FF2B5EF4-FFF2-40B4-BE49-F238E27FC236}">
              <a16:creationId xmlns:a16="http://schemas.microsoft.com/office/drawing/2014/main" id="{39D085F9-147E-B699-8D40-54FB3161EC2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27</xdr:row>
      <xdr:rowOff>190500</xdr:rowOff>
    </xdr:to>
    <xdr:sp macro="" textlink="">
      <xdr:nvSpPr>
        <xdr:cNvPr id="2" name="AutoShape 10">
          <a:extLst>
            <a:ext uri="{FF2B5EF4-FFF2-40B4-BE49-F238E27FC236}">
              <a16:creationId xmlns:a16="http://schemas.microsoft.com/office/drawing/2014/main" id="{7ACE9C3D-EF5C-2D3A-CDC2-A993320453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26</xdr:row>
      <xdr:rowOff>171450</xdr:rowOff>
    </xdr:to>
    <xdr:sp macro="" textlink="">
      <xdr:nvSpPr>
        <xdr:cNvPr id="11275" name="Text Box 11" hidden="1">
          <a:extLst>
            <a:ext uri="{FF2B5EF4-FFF2-40B4-BE49-F238E27FC236}">
              <a16:creationId xmlns:a16="http://schemas.microsoft.com/office/drawing/2014/main" id="{97083036-7BB0-5906-5DBD-EC1CA212462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26</xdr:row>
      <xdr:rowOff>171450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C2B90D8E-F854-7CD4-CD91-BD99E316AF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25</xdr:row>
      <xdr:rowOff>285750</xdr:rowOff>
    </xdr:to>
    <xdr:sp macro="" textlink="">
      <xdr:nvSpPr>
        <xdr:cNvPr id="12299" name="Text Box 11" hidden="1">
          <a:extLst>
            <a:ext uri="{FF2B5EF4-FFF2-40B4-BE49-F238E27FC236}">
              <a16:creationId xmlns:a16="http://schemas.microsoft.com/office/drawing/2014/main" id="{08ADC754-6BEB-B376-CBD0-EB97D4441AB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25</xdr:row>
      <xdr:rowOff>285750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72371173-C986-4BCC-A2B2-A2361E0011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28</xdr:row>
      <xdr:rowOff>266700</xdr:rowOff>
    </xdr:to>
    <xdr:sp macro="" textlink="">
      <xdr:nvSpPr>
        <xdr:cNvPr id="13341" name="Text Box 29" hidden="1">
          <a:extLst>
            <a:ext uri="{FF2B5EF4-FFF2-40B4-BE49-F238E27FC236}">
              <a16:creationId xmlns:a16="http://schemas.microsoft.com/office/drawing/2014/main" id="{EA7137F3-BCDA-1865-F31B-B9034617B4F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28</xdr:row>
      <xdr:rowOff>266700</xdr:rowOff>
    </xdr:to>
    <xdr:sp macro="" textlink="">
      <xdr:nvSpPr>
        <xdr:cNvPr id="2" name="AutoShape 29">
          <a:extLst>
            <a:ext uri="{FF2B5EF4-FFF2-40B4-BE49-F238E27FC236}">
              <a16:creationId xmlns:a16="http://schemas.microsoft.com/office/drawing/2014/main" id="{86CEA17C-09A9-58CF-680B-086D03196F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30</xdr:row>
      <xdr:rowOff>0</xdr:rowOff>
    </xdr:to>
    <xdr:sp macro="" textlink="">
      <xdr:nvSpPr>
        <xdr:cNvPr id="14347" name="Text Box 11" hidden="1">
          <a:extLst>
            <a:ext uri="{FF2B5EF4-FFF2-40B4-BE49-F238E27FC236}">
              <a16:creationId xmlns:a16="http://schemas.microsoft.com/office/drawing/2014/main" id="{F720F8E6-FC5B-97CB-1BC0-210E0B8431B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30</xdr:row>
      <xdr:rowOff>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3B6B6D50-6913-9799-5A69-CE2B42ED29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4</xdr:row>
      <xdr:rowOff>113506</xdr:rowOff>
    </xdr:from>
    <xdr:to>
      <xdr:col>1</xdr:col>
      <xdr:colOff>208756</xdr:colOff>
      <xdr:row>4</xdr:row>
      <xdr:rowOff>1129506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L_業種_Shape">
              <a:extLst>
                <a:ext uri="{FF2B5EF4-FFF2-40B4-BE49-F238E27FC236}">
                  <a16:creationId xmlns:a16="http://schemas.microsoft.com/office/drawing/2014/main" id="{D314169B-51DA-7B2C-C6C4-F77ED6754B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業種_Sha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600" y="1339850"/>
              <a:ext cx="1524000" cy="101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99219</xdr:colOff>
      <xdr:row>4</xdr:row>
      <xdr:rowOff>113506</xdr:rowOff>
    </xdr:from>
    <xdr:to>
      <xdr:col>5</xdr:col>
      <xdr:colOff>623094</xdr:colOff>
      <xdr:row>4</xdr:row>
      <xdr:rowOff>1891506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L_商品_Shape">
              <a:extLst>
                <a:ext uri="{FF2B5EF4-FFF2-40B4-BE49-F238E27FC236}">
                  <a16:creationId xmlns:a16="http://schemas.microsoft.com/office/drawing/2014/main" id="{AB10D209-B996-D96D-E798-D242C6FA17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商品_Sha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8188" y="1339850"/>
              <a:ext cx="2286000" cy="177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89694</xdr:colOff>
      <xdr:row>4</xdr:row>
      <xdr:rowOff>113506</xdr:rowOff>
    </xdr:from>
    <xdr:to>
      <xdr:col>13</xdr:col>
      <xdr:colOff>756444</xdr:colOff>
      <xdr:row>4</xdr:row>
      <xdr:rowOff>1383506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7" name="TL_日付_Shape">
              <a:extLst>
                <a:ext uri="{FF2B5EF4-FFF2-40B4-BE49-F238E27FC236}">
                  <a16:creationId xmlns:a16="http://schemas.microsoft.com/office/drawing/2014/main" id="{7814315C-AC6F-55AC-5073-BE4C9DB568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TL_日付_Sha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5038" y="1339850"/>
              <a:ext cx="4191000" cy="127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タイムライン: Excel 2013 以上で作成されています。移動したりサイズ変更したりしないでください。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25400</xdr:colOff>
      <xdr:row>12</xdr:row>
      <xdr:rowOff>25400</xdr:rowOff>
    </xdr:from>
    <xdr:to>
      <xdr:col>4</xdr:col>
      <xdr:colOff>412750</xdr:colOff>
      <xdr:row>23</xdr:row>
      <xdr:rowOff>123825</xdr:rowOff>
    </xdr:to>
    <xdr:graphicFrame macro="">
      <xdr:nvGraphicFramePr>
        <xdr:cNvPr id="8" name="PG-01">
          <a:extLst>
            <a:ext uri="{FF2B5EF4-FFF2-40B4-BE49-F238E27FC236}">
              <a16:creationId xmlns:a16="http://schemas.microsoft.com/office/drawing/2014/main" id="{2A75A86E-D8F7-B020-DBF8-54349A566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251619</xdr:colOff>
      <xdr:row>12</xdr:row>
      <xdr:rowOff>25400</xdr:rowOff>
    </xdr:from>
    <xdr:to>
      <xdr:col>13</xdr:col>
      <xdr:colOff>296069</xdr:colOff>
      <xdr:row>23</xdr:row>
      <xdr:rowOff>123825</xdr:rowOff>
    </xdr:to>
    <xdr:graphicFrame macro="">
      <xdr:nvGraphicFramePr>
        <xdr:cNvPr id="9" name="PG-02">
          <a:extLst>
            <a:ext uri="{FF2B5EF4-FFF2-40B4-BE49-F238E27FC236}">
              <a16:creationId xmlns:a16="http://schemas.microsoft.com/office/drawing/2014/main" id="{8FB4167D-09C5-E053-DAC8-3CDC21A3F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25400</xdr:colOff>
      <xdr:row>28</xdr:row>
      <xdr:rowOff>25400</xdr:rowOff>
    </xdr:from>
    <xdr:to>
      <xdr:col>4</xdr:col>
      <xdr:colOff>412750</xdr:colOff>
      <xdr:row>37</xdr:row>
      <xdr:rowOff>152400</xdr:rowOff>
    </xdr:to>
    <xdr:graphicFrame macro="">
      <xdr:nvGraphicFramePr>
        <xdr:cNvPr id="10" name="PG-03">
          <a:extLst>
            <a:ext uri="{FF2B5EF4-FFF2-40B4-BE49-F238E27FC236}">
              <a16:creationId xmlns:a16="http://schemas.microsoft.com/office/drawing/2014/main" id="{07FACD77-CB86-7A05-45B8-C1620E01E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8</xdr:col>
      <xdr:colOff>251619</xdr:colOff>
      <xdr:row>28</xdr:row>
      <xdr:rowOff>25400</xdr:rowOff>
    </xdr:from>
    <xdr:to>
      <xdr:col>13</xdr:col>
      <xdr:colOff>296069</xdr:colOff>
      <xdr:row>37</xdr:row>
      <xdr:rowOff>152400</xdr:rowOff>
    </xdr:to>
    <xdr:graphicFrame macro="">
      <xdr:nvGraphicFramePr>
        <xdr:cNvPr id="11" name="PG-04">
          <a:extLst>
            <a:ext uri="{FF2B5EF4-FFF2-40B4-BE49-F238E27FC236}">
              <a16:creationId xmlns:a16="http://schemas.microsoft.com/office/drawing/2014/main" id="{CFC53CB0-BF51-8D79-637C-9F80F62EA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田中太郎" refreshedDate="46317.315341550922" createdVersion="8" refreshedVersion="8" minRefreshableVersion="3" recordCount="576" xr:uid="{F669964D-9873-456F-BB89-78BA926C53F3}">
  <cacheSource type="worksheet">
    <worksheetSource name="SalesHistory"/>
  </cacheSource>
  <cacheFields count="14">
    <cacheField name="日付" numFmtId="177">
      <sharedItems containsSemiMixedTypes="0" containsNonDate="0" containsDate="1" containsString="0" minDate="2025-01-05T00:00:00" maxDate="2026-12-26T00:00:00" count="72">
        <d v="2025-01-05T00:00:00"/>
        <d v="2025-01-15T00:00:00"/>
        <d v="2025-01-25T00:00:00"/>
        <d v="2025-02-05T00:00:00"/>
        <d v="2025-02-15T00:00:00"/>
        <d v="2025-02-25T00:00:00"/>
        <d v="2025-03-05T00:00:00"/>
        <d v="2025-03-15T00:00:00"/>
        <d v="2025-03-25T00:00:00"/>
        <d v="2025-04-05T00:00:00"/>
        <d v="2025-04-15T00:00:00"/>
        <d v="2025-04-25T00:00:00"/>
        <d v="2025-05-05T00:00:00"/>
        <d v="2025-05-15T00:00:00"/>
        <d v="2025-05-25T00:00:00"/>
        <d v="2025-06-05T00:00:00"/>
        <d v="2025-06-15T00:00:00"/>
        <d v="2025-06-25T00:00:00"/>
        <d v="2025-07-05T00:00:00"/>
        <d v="2025-07-15T00:00:00"/>
        <d v="2025-07-25T00:00:00"/>
        <d v="2025-08-05T00:00:00"/>
        <d v="2025-08-15T00:00:00"/>
        <d v="2025-08-25T00:00:00"/>
        <d v="2025-09-05T00:00:00"/>
        <d v="2025-09-15T00:00:00"/>
        <d v="2025-09-25T00:00:00"/>
        <d v="2025-10-05T00:00:00"/>
        <d v="2025-10-15T00:00:00"/>
        <d v="2025-10-25T00:00:00"/>
        <d v="2025-11-05T00:00:00"/>
        <d v="2025-11-15T00:00:00"/>
        <d v="2025-11-25T00:00:00"/>
        <d v="2025-12-05T00:00:00"/>
        <d v="2025-12-15T00:00:00"/>
        <d v="2025-12-25T00:00:00"/>
        <d v="2026-01-05T00:00:00"/>
        <d v="2026-01-15T00:00:00"/>
        <d v="2026-01-25T00:00:00"/>
        <d v="2026-02-05T00:00:00"/>
        <d v="2026-02-15T00:00:00"/>
        <d v="2026-02-25T00:00:00"/>
        <d v="2026-03-05T00:00:00"/>
        <d v="2026-03-15T00:00:00"/>
        <d v="2026-03-25T00:00:00"/>
        <d v="2026-04-05T00:00:00"/>
        <d v="2026-04-15T00:00:00"/>
        <d v="2026-04-25T00:00:00"/>
        <d v="2026-05-05T00:00:00"/>
        <d v="2026-05-15T00:00:00"/>
        <d v="2026-05-25T00:00:00"/>
        <d v="2026-06-05T00:00:00"/>
        <d v="2026-06-15T00:00:00"/>
        <d v="2026-06-25T00:00:00"/>
        <d v="2026-07-05T00:00:00"/>
        <d v="2026-07-15T00:00:00"/>
        <d v="2026-07-25T00:00:00"/>
        <d v="2026-08-05T00:00:00"/>
        <d v="2026-08-15T00:00:00"/>
        <d v="2026-08-25T00:00:00"/>
        <d v="2026-09-05T00:00:00"/>
        <d v="2026-09-15T00:00:00"/>
        <d v="2026-09-25T00:00:00"/>
        <d v="2026-10-05T00:00:00"/>
        <d v="2026-10-15T00:00:00"/>
        <d v="2026-10-25T00:00:00"/>
        <d v="2026-11-05T00:00:00"/>
        <d v="2026-11-15T00:00:00"/>
        <d v="2026-11-25T00:00:00"/>
        <d v="2026-12-05T00:00:00"/>
        <d v="2026-12-15T00:00:00"/>
        <d v="2026-12-25T00:00:00"/>
      </sharedItems>
    </cacheField>
    <cacheField name="業種" numFmtId="0">
      <sharedItems count="2">
        <s v="木工所"/>
        <s v="農家"/>
      </sharedItems>
    </cacheField>
    <cacheField name="商品" numFmtId="0">
      <sharedItems count="8">
        <s v="テーブル"/>
        <s v="椅子"/>
        <s v="収納棚"/>
        <s v="木製小物"/>
        <s v="野菜5kg箱"/>
        <s v="トマト箱"/>
        <s v="米5kg"/>
        <s v="季節の果物"/>
      </sharedItems>
    </cacheField>
    <cacheField name="数量" numFmtId="3">
      <sharedItems containsSemiMixedTypes="0" containsString="0" containsNumber="1" containsInteger="1" minValue="2" maxValue="36"/>
    </cacheField>
    <cacheField name="税抜単価" numFmtId="3">
      <sharedItems containsSemiMixedTypes="0" containsString="0" containsNumber="1" containsInteger="1" minValue="1800" maxValue="50000"/>
    </cacheField>
    <cacheField name="税抜売上" numFmtId="3">
      <sharedItems containsSemiMixedTypes="0" containsString="0" containsNumber="1" containsInteger="1" minValue="5000" maxValue="900000"/>
    </cacheField>
    <cacheField name="計上原価" numFmtId="3">
      <sharedItems containsSemiMixedTypes="0" containsString="0" containsNumber="1" containsInteger="1" minValue="2700" maxValue="612000"/>
    </cacheField>
    <cacheField name="計上原価控除後差額" numFmtId="3">
      <sharedItems containsSemiMixedTypes="0" containsString="0" containsNumber="1" containsInteger="1" minValue="1700" maxValue="442000"/>
    </cacheField>
    <cacheField name="データ区分" numFmtId="0">
      <sharedItems/>
    </cacheField>
    <cacheField name="年月" numFmtId="0">
      <sharedItems count="24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  <s v="2026-03"/>
        <s v="2026-04"/>
        <s v="2026-05"/>
        <s v="2026-06"/>
        <s v="2026-07"/>
        <s v="2026-08"/>
        <s v="2026-09"/>
        <s v="2026-10"/>
        <s v="2026-11"/>
        <s v="2026-12"/>
      </sharedItems>
    </cacheField>
    <cacheField name="年" numFmtId="0">
      <sharedItems containsSemiMixedTypes="0" containsString="0" containsNumber="1" containsInteger="1" minValue="2025" maxValue="2026" count="2">
        <n v="2025"/>
        <n v="2026"/>
      </sharedItems>
    </cacheField>
    <cacheField name="月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売上万円" numFmtId="0" formula="税抜売上/10000" databaseField="0"/>
    <cacheField name="差額万円" numFmtId="0" formula="計上原価控除後差額/10000" databaseField="0"/>
  </cacheFields>
  <extLst>
    <ext xmlns:x14="http://schemas.microsoft.com/office/spreadsheetml/2009/9/main" uri="{725AE2AE-9491-48be-B2B4-4EB974FC3084}">
      <x14:pivotCacheDefinition pivotCacheId="5821969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">
  <r>
    <x v="0"/>
    <x v="0"/>
    <x v="0"/>
    <n v="11"/>
    <n v="50000"/>
    <n v="550000"/>
    <n v="297000"/>
    <n v="253000"/>
    <s v="架空サンプル"/>
    <x v="0"/>
    <x v="0"/>
    <x v="0"/>
  </r>
  <r>
    <x v="1"/>
    <x v="0"/>
    <x v="0"/>
    <n v="16"/>
    <n v="50000"/>
    <n v="800000"/>
    <n v="432000"/>
    <n v="368000"/>
    <s v="架空サンプル"/>
    <x v="0"/>
    <x v="0"/>
    <x v="0"/>
  </r>
  <r>
    <x v="2"/>
    <x v="0"/>
    <x v="0"/>
    <n v="4"/>
    <n v="50000"/>
    <n v="200000"/>
    <n v="108000"/>
    <n v="92000"/>
    <s v="架空サンプル"/>
    <x v="0"/>
    <x v="0"/>
    <x v="0"/>
  </r>
  <r>
    <x v="0"/>
    <x v="0"/>
    <x v="1"/>
    <n v="14"/>
    <n v="15000"/>
    <n v="210000"/>
    <n v="126000"/>
    <n v="84000"/>
    <s v="架空サンプル"/>
    <x v="0"/>
    <x v="0"/>
    <x v="0"/>
  </r>
  <r>
    <x v="1"/>
    <x v="0"/>
    <x v="1"/>
    <n v="2"/>
    <n v="15000"/>
    <n v="30000"/>
    <n v="18000"/>
    <n v="12000"/>
    <s v="架空サンプル"/>
    <x v="0"/>
    <x v="0"/>
    <x v="0"/>
  </r>
  <r>
    <x v="2"/>
    <x v="0"/>
    <x v="1"/>
    <n v="7"/>
    <n v="15000"/>
    <n v="105000"/>
    <n v="63000"/>
    <n v="42000"/>
    <s v="架空サンプル"/>
    <x v="0"/>
    <x v="0"/>
    <x v="0"/>
  </r>
  <r>
    <x v="0"/>
    <x v="0"/>
    <x v="2"/>
    <n v="17"/>
    <n v="35000"/>
    <n v="595000"/>
    <n v="392700"/>
    <n v="202300"/>
    <s v="架空サンプル"/>
    <x v="0"/>
    <x v="0"/>
    <x v="0"/>
  </r>
  <r>
    <x v="1"/>
    <x v="0"/>
    <x v="2"/>
    <n v="5"/>
    <n v="35000"/>
    <n v="175000"/>
    <n v="115500"/>
    <n v="59500"/>
    <s v="架空サンプル"/>
    <x v="0"/>
    <x v="0"/>
    <x v="0"/>
  </r>
  <r>
    <x v="2"/>
    <x v="0"/>
    <x v="2"/>
    <n v="10"/>
    <n v="35000"/>
    <n v="350000"/>
    <n v="231000"/>
    <n v="119000"/>
    <s v="架空サンプル"/>
    <x v="0"/>
    <x v="0"/>
    <x v="0"/>
  </r>
  <r>
    <x v="0"/>
    <x v="0"/>
    <x v="3"/>
    <n v="3"/>
    <n v="2500"/>
    <n v="7500"/>
    <n v="5400"/>
    <n v="2100"/>
    <s v="架空サンプル"/>
    <x v="0"/>
    <x v="0"/>
    <x v="0"/>
  </r>
  <r>
    <x v="1"/>
    <x v="0"/>
    <x v="3"/>
    <n v="8"/>
    <n v="2500"/>
    <n v="20000"/>
    <n v="14400"/>
    <n v="5600"/>
    <s v="架空サンプル"/>
    <x v="0"/>
    <x v="0"/>
    <x v="0"/>
  </r>
  <r>
    <x v="2"/>
    <x v="0"/>
    <x v="3"/>
    <n v="13"/>
    <n v="2500"/>
    <n v="32500"/>
    <n v="23400"/>
    <n v="9100"/>
    <s v="架空サンプル"/>
    <x v="0"/>
    <x v="0"/>
    <x v="0"/>
  </r>
  <r>
    <x v="0"/>
    <x v="1"/>
    <x v="4"/>
    <n v="24"/>
    <n v="2000"/>
    <n v="48000"/>
    <n v="23040"/>
    <n v="24960"/>
    <s v="架空サンプル"/>
    <x v="0"/>
    <x v="0"/>
    <x v="0"/>
  </r>
  <r>
    <x v="1"/>
    <x v="1"/>
    <x v="4"/>
    <n v="29"/>
    <n v="2000"/>
    <n v="58000"/>
    <n v="27840"/>
    <n v="30160"/>
    <s v="架空サンプル"/>
    <x v="0"/>
    <x v="0"/>
    <x v="0"/>
  </r>
  <r>
    <x v="2"/>
    <x v="1"/>
    <x v="4"/>
    <n v="34"/>
    <n v="2000"/>
    <n v="68000"/>
    <n v="32640"/>
    <n v="35360"/>
    <s v="架空サンプル"/>
    <x v="0"/>
    <x v="0"/>
    <x v="0"/>
  </r>
  <r>
    <x v="0"/>
    <x v="1"/>
    <x v="5"/>
    <n v="27"/>
    <n v="1800"/>
    <n v="48600"/>
    <n v="26244"/>
    <n v="22356"/>
    <s v="架空サンプル"/>
    <x v="0"/>
    <x v="0"/>
    <x v="0"/>
  </r>
  <r>
    <x v="1"/>
    <x v="1"/>
    <x v="5"/>
    <n v="32"/>
    <n v="1800"/>
    <n v="57600"/>
    <n v="31104"/>
    <n v="26496"/>
    <s v="架空サンプル"/>
    <x v="0"/>
    <x v="0"/>
    <x v="0"/>
  </r>
  <r>
    <x v="2"/>
    <x v="1"/>
    <x v="5"/>
    <n v="20"/>
    <n v="1800"/>
    <n v="36000"/>
    <n v="19440"/>
    <n v="16560"/>
    <s v="架空サンプル"/>
    <x v="0"/>
    <x v="0"/>
    <x v="0"/>
  </r>
  <r>
    <x v="0"/>
    <x v="1"/>
    <x v="6"/>
    <n v="30"/>
    <n v="3200"/>
    <n v="96000"/>
    <n v="57600"/>
    <n v="38400"/>
    <s v="架空サンプル"/>
    <x v="0"/>
    <x v="0"/>
    <x v="0"/>
  </r>
  <r>
    <x v="1"/>
    <x v="1"/>
    <x v="6"/>
    <n v="35"/>
    <n v="3200"/>
    <n v="112000"/>
    <n v="67200"/>
    <n v="44800"/>
    <s v="架空サンプル"/>
    <x v="0"/>
    <x v="0"/>
    <x v="0"/>
  </r>
  <r>
    <x v="2"/>
    <x v="1"/>
    <x v="6"/>
    <n v="23"/>
    <n v="3200"/>
    <n v="73600"/>
    <n v="44160"/>
    <n v="29440"/>
    <s v="架空サンプル"/>
    <x v="0"/>
    <x v="0"/>
    <x v="0"/>
  </r>
  <r>
    <x v="0"/>
    <x v="1"/>
    <x v="7"/>
    <n v="33"/>
    <n v="4000"/>
    <n v="132000"/>
    <n v="87120"/>
    <n v="44880"/>
    <s v="架空サンプル"/>
    <x v="0"/>
    <x v="0"/>
    <x v="0"/>
  </r>
  <r>
    <x v="1"/>
    <x v="1"/>
    <x v="7"/>
    <n v="21"/>
    <n v="4000"/>
    <n v="84000"/>
    <n v="55440"/>
    <n v="28560"/>
    <s v="架空サンプル"/>
    <x v="0"/>
    <x v="0"/>
    <x v="0"/>
  </r>
  <r>
    <x v="2"/>
    <x v="1"/>
    <x v="7"/>
    <n v="26"/>
    <n v="4000"/>
    <n v="104000"/>
    <n v="68640"/>
    <n v="35360"/>
    <s v="架空サンプル"/>
    <x v="0"/>
    <x v="0"/>
    <x v="0"/>
  </r>
  <r>
    <x v="3"/>
    <x v="0"/>
    <x v="0"/>
    <n v="18"/>
    <n v="50000"/>
    <n v="900000"/>
    <n v="540000"/>
    <n v="360000"/>
    <s v="架空サンプル"/>
    <x v="1"/>
    <x v="0"/>
    <x v="1"/>
  </r>
  <r>
    <x v="4"/>
    <x v="0"/>
    <x v="0"/>
    <n v="6"/>
    <n v="50000"/>
    <n v="300000"/>
    <n v="180000"/>
    <n v="120000"/>
    <s v="架空サンプル"/>
    <x v="1"/>
    <x v="0"/>
    <x v="1"/>
  </r>
  <r>
    <x v="5"/>
    <x v="0"/>
    <x v="0"/>
    <n v="11"/>
    <n v="50000"/>
    <n v="550000"/>
    <n v="330000"/>
    <n v="220000"/>
    <s v="架空サンプル"/>
    <x v="1"/>
    <x v="0"/>
    <x v="1"/>
  </r>
  <r>
    <x v="3"/>
    <x v="0"/>
    <x v="1"/>
    <n v="4"/>
    <n v="15000"/>
    <n v="60000"/>
    <n v="39600"/>
    <n v="20400"/>
    <s v="架空サンプル"/>
    <x v="1"/>
    <x v="0"/>
    <x v="1"/>
  </r>
  <r>
    <x v="4"/>
    <x v="0"/>
    <x v="1"/>
    <n v="9"/>
    <n v="15000"/>
    <n v="135000"/>
    <n v="89100"/>
    <n v="45900"/>
    <s v="架空サンプル"/>
    <x v="1"/>
    <x v="0"/>
    <x v="1"/>
  </r>
  <r>
    <x v="5"/>
    <x v="0"/>
    <x v="1"/>
    <n v="14"/>
    <n v="15000"/>
    <n v="210000"/>
    <n v="138600"/>
    <n v="71400"/>
    <s v="架空サンプル"/>
    <x v="1"/>
    <x v="0"/>
    <x v="1"/>
  </r>
  <r>
    <x v="3"/>
    <x v="0"/>
    <x v="2"/>
    <n v="7"/>
    <n v="35000"/>
    <n v="245000"/>
    <n v="176400"/>
    <n v="68600"/>
    <s v="架空サンプル"/>
    <x v="1"/>
    <x v="0"/>
    <x v="1"/>
  </r>
  <r>
    <x v="4"/>
    <x v="0"/>
    <x v="2"/>
    <n v="12"/>
    <n v="35000"/>
    <n v="420000"/>
    <n v="302400"/>
    <n v="117600"/>
    <s v="架空サンプル"/>
    <x v="1"/>
    <x v="0"/>
    <x v="1"/>
  </r>
  <r>
    <x v="5"/>
    <x v="0"/>
    <x v="2"/>
    <n v="17"/>
    <n v="35000"/>
    <n v="595000"/>
    <n v="428400"/>
    <n v="166600"/>
    <s v="架空サンプル"/>
    <x v="1"/>
    <x v="0"/>
    <x v="1"/>
  </r>
  <r>
    <x v="3"/>
    <x v="0"/>
    <x v="3"/>
    <n v="10"/>
    <n v="2500"/>
    <n v="25000"/>
    <n v="12000"/>
    <n v="13000"/>
    <s v="架空サンプル"/>
    <x v="1"/>
    <x v="0"/>
    <x v="1"/>
  </r>
  <r>
    <x v="4"/>
    <x v="0"/>
    <x v="3"/>
    <n v="15"/>
    <n v="2500"/>
    <n v="37500"/>
    <n v="18000"/>
    <n v="19500"/>
    <s v="架空サンプル"/>
    <x v="1"/>
    <x v="0"/>
    <x v="1"/>
  </r>
  <r>
    <x v="5"/>
    <x v="0"/>
    <x v="3"/>
    <n v="3"/>
    <n v="2500"/>
    <n v="7500"/>
    <n v="3600"/>
    <n v="3900"/>
    <s v="架空サンプル"/>
    <x v="1"/>
    <x v="0"/>
    <x v="1"/>
  </r>
  <r>
    <x v="3"/>
    <x v="1"/>
    <x v="4"/>
    <n v="31"/>
    <n v="2000"/>
    <n v="62000"/>
    <n v="33480"/>
    <n v="28520"/>
    <s v="架空サンプル"/>
    <x v="1"/>
    <x v="0"/>
    <x v="1"/>
  </r>
  <r>
    <x v="4"/>
    <x v="1"/>
    <x v="4"/>
    <n v="36"/>
    <n v="2000"/>
    <n v="72000"/>
    <n v="38880"/>
    <n v="33120"/>
    <s v="架空サンプル"/>
    <x v="1"/>
    <x v="0"/>
    <x v="1"/>
  </r>
  <r>
    <x v="5"/>
    <x v="1"/>
    <x v="4"/>
    <n v="24"/>
    <n v="2000"/>
    <n v="48000"/>
    <n v="25920"/>
    <n v="22080"/>
    <s v="架空サンプル"/>
    <x v="1"/>
    <x v="0"/>
    <x v="1"/>
  </r>
  <r>
    <x v="3"/>
    <x v="1"/>
    <x v="5"/>
    <n v="34"/>
    <n v="1800"/>
    <n v="61200"/>
    <n v="36720"/>
    <n v="24480"/>
    <s v="架空サンプル"/>
    <x v="1"/>
    <x v="0"/>
    <x v="1"/>
  </r>
  <r>
    <x v="4"/>
    <x v="1"/>
    <x v="5"/>
    <n v="22"/>
    <n v="1800"/>
    <n v="39600"/>
    <n v="23760"/>
    <n v="15840"/>
    <s v="架空サンプル"/>
    <x v="1"/>
    <x v="0"/>
    <x v="1"/>
  </r>
  <r>
    <x v="5"/>
    <x v="1"/>
    <x v="5"/>
    <n v="27"/>
    <n v="1800"/>
    <n v="48600"/>
    <n v="29160"/>
    <n v="19440"/>
    <s v="架空サンプル"/>
    <x v="1"/>
    <x v="0"/>
    <x v="1"/>
  </r>
  <r>
    <x v="3"/>
    <x v="1"/>
    <x v="6"/>
    <n v="20"/>
    <n v="3200"/>
    <n v="64000"/>
    <n v="42240"/>
    <n v="21760"/>
    <s v="架空サンプル"/>
    <x v="1"/>
    <x v="0"/>
    <x v="1"/>
  </r>
  <r>
    <x v="4"/>
    <x v="1"/>
    <x v="6"/>
    <n v="25"/>
    <n v="3200"/>
    <n v="80000"/>
    <n v="52800"/>
    <n v="27200"/>
    <s v="架空サンプル"/>
    <x v="1"/>
    <x v="0"/>
    <x v="1"/>
  </r>
  <r>
    <x v="5"/>
    <x v="1"/>
    <x v="6"/>
    <n v="30"/>
    <n v="3200"/>
    <n v="96000"/>
    <n v="63360"/>
    <n v="32640"/>
    <s v="架空サンプル"/>
    <x v="1"/>
    <x v="0"/>
    <x v="1"/>
  </r>
  <r>
    <x v="3"/>
    <x v="1"/>
    <x v="7"/>
    <n v="23"/>
    <n v="4000"/>
    <n v="92000"/>
    <n v="66240"/>
    <n v="25760"/>
    <s v="架空サンプル"/>
    <x v="1"/>
    <x v="0"/>
    <x v="1"/>
  </r>
  <r>
    <x v="4"/>
    <x v="1"/>
    <x v="7"/>
    <n v="28"/>
    <n v="4000"/>
    <n v="112000"/>
    <n v="80640"/>
    <n v="31360"/>
    <s v="架空サンプル"/>
    <x v="1"/>
    <x v="0"/>
    <x v="1"/>
  </r>
  <r>
    <x v="5"/>
    <x v="1"/>
    <x v="7"/>
    <n v="33"/>
    <n v="4000"/>
    <n v="132000"/>
    <n v="95040"/>
    <n v="36960"/>
    <s v="架空サンプル"/>
    <x v="1"/>
    <x v="0"/>
    <x v="1"/>
  </r>
  <r>
    <x v="6"/>
    <x v="0"/>
    <x v="0"/>
    <n v="8"/>
    <n v="50000"/>
    <n v="400000"/>
    <n v="264000"/>
    <n v="136000"/>
    <s v="架空サンプル"/>
    <x v="2"/>
    <x v="0"/>
    <x v="2"/>
  </r>
  <r>
    <x v="7"/>
    <x v="0"/>
    <x v="0"/>
    <n v="13"/>
    <n v="50000"/>
    <n v="650000"/>
    <n v="429000"/>
    <n v="221000"/>
    <s v="架空サンプル"/>
    <x v="2"/>
    <x v="0"/>
    <x v="2"/>
  </r>
  <r>
    <x v="8"/>
    <x v="0"/>
    <x v="0"/>
    <n v="18"/>
    <n v="50000"/>
    <n v="900000"/>
    <n v="594000"/>
    <n v="306000"/>
    <s v="架空サンプル"/>
    <x v="2"/>
    <x v="0"/>
    <x v="2"/>
  </r>
  <r>
    <x v="6"/>
    <x v="0"/>
    <x v="1"/>
    <n v="11"/>
    <n v="15000"/>
    <n v="165000"/>
    <n v="118800"/>
    <n v="46200"/>
    <s v="架空サンプル"/>
    <x v="2"/>
    <x v="0"/>
    <x v="2"/>
  </r>
  <r>
    <x v="7"/>
    <x v="0"/>
    <x v="1"/>
    <n v="16"/>
    <n v="15000"/>
    <n v="240000"/>
    <n v="172800"/>
    <n v="67200"/>
    <s v="架空サンプル"/>
    <x v="2"/>
    <x v="0"/>
    <x v="2"/>
  </r>
  <r>
    <x v="8"/>
    <x v="0"/>
    <x v="1"/>
    <n v="4"/>
    <n v="15000"/>
    <n v="60000"/>
    <n v="43200"/>
    <n v="16800"/>
    <s v="架空サンプル"/>
    <x v="2"/>
    <x v="0"/>
    <x v="2"/>
  </r>
  <r>
    <x v="6"/>
    <x v="0"/>
    <x v="2"/>
    <n v="14"/>
    <n v="35000"/>
    <n v="490000"/>
    <n v="235200"/>
    <n v="254800"/>
    <s v="架空サンプル"/>
    <x v="2"/>
    <x v="0"/>
    <x v="2"/>
  </r>
  <r>
    <x v="7"/>
    <x v="0"/>
    <x v="2"/>
    <n v="2"/>
    <n v="35000"/>
    <n v="70000"/>
    <n v="33600"/>
    <n v="36400"/>
    <s v="架空サンプル"/>
    <x v="2"/>
    <x v="0"/>
    <x v="2"/>
  </r>
  <r>
    <x v="8"/>
    <x v="0"/>
    <x v="2"/>
    <n v="7"/>
    <n v="35000"/>
    <n v="245000"/>
    <n v="117600"/>
    <n v="127400"/>
    <s v="架空サンプル"/>
    <x v="2"/>
    <x v="0"/>
    <x v="2"/>
  </r>
  <r>
    <x v="6"/>
    <x v="0"/>
    <x v="3"/>
    <n v="17"/>
    <n v="2500"/>
    <n v="42500"/>
    <n v="22950"/>
    <n v="19550"/>
    <s v="架空サンプル"/>
    <x v="2"/>
    <x v="0"/>
    <x v="2"/>
  </r>
  <r>
    <x v="7"/>
    <x v="0"/>
    <x v="3"/>
    <n v="5"/>
    <n v="2500"/>
    <n v="12500"/>
    <n v="6750"/>
    <n v="5750"/>
    <s v="架空サンプル"/>
    <x v="2"/>
    <x v="0"/>
    <x v="2"/>
  </r>
  <r>
    <x v="8"/>
    <x v="0"/>
    <x v="3"/>
    <n v="10"/>
    <n v="2500"/>
    <n v="25000"/>
    <n v="13500"/>
    <n v="11500"/>
    <s v="架空サンプル"/>
    <x v="2"/>
    <x v="0"/>
    <x v="2"/>
  </r>
  <r>
    <x v="6"/>
    <x v="1"/>
    <x v="4"/>
    <n v="21"/>
    <n v="2000"/>
    <n v="42000"/>
    <n v="25200"/>
    <n v="16800"/>
    <s v="架空サンプル"/>
    <x v="2"/>
    <x v="0"/>
    <x v="2"/>
  </r>
  <r>
    <x v="7"/>
    <x v="1"/>
    <x v="4"/>
    <n v="26"/>
    <n v="2000"/>
    <n v="52000"/>
    <n v="31200"/>
    <n v="20800"/>
    <s v="架空サンプル"/>
    <x v="2"/>
    <x v="0"/>
    <x v="2"/>
  </r>
  <r>
    <x v="8"/>
    <x v="1"/>
    <x v="4"/>
    <n v="31"/>
    <n v="2000"/>
    <n v="62000"/>
    <n v="37200"/>
    <n v="24800"/>
    <s v="架空サンプル"/>
    <x v="2"/>
    <x v="0"/>
    <x v="2"/>
  </r>
  <r>
    <x v="6"/>
    <x v="1"/>
    <x v="5"/>
    <n v="24"/>
    <n v="1800"/>
    <n v="43200"/>
    <n v="28512"/>
    <n v="14688"/>
    <s v="架空サンプル"/>
    <x v="2"/>
    <x v="0"/>
    <x v="2"/>
  </r>
  <r>
    <x v="7"/>
    <x v="1"/>
    <x v="5"/>
    <n v="29"/>
    <n v="1800"/>
    <n v="52200"/>
    <n v="34452"/>
    <n v="17748"/>
    <s v="架空サンプル"/>
    <x v="2"/>
    <x v="0"/>
    <x v="2"/>
  </r>
  <r>
    <x v="8"/>
    <x v="1"/>
    <x v="5"/>
    <n v="34"/>
    <n v="1800"/>
    <n v="61200"/>
    <n v="40392"/>
    <n v="20808"/>
    <s v="架空サンプル"/>
    <x v="2"/>
    <x v="0"/>
    <x v="2"/>
  </r>
  <r>
    <x v="6"/>
    <x v="1"/>
    <x v="6"/>
    <n v="27"/>
    <n v="3200"/>
    <n v="86400"/>
    <n v="62208"/>
    <n v="24192"/>
    <s v="架空サンプル"/>
    <x v="2"/>
    <x v="0"/>
    <x v="2"/>
  </r>
  <r>
    <x v="7"/>
    <x v="1"/>
    <x v="6"/>
    <n v="32"/>
    <n v="3200"/>
    <n v="102400"/>
    <n v="73728"/>
    <n v="28672"/>
    <s v="架空サンプル"/>
    <x v="2"/>
    <x v="0"/>
    <x v="2"/>
  </r>
  <r>
    <x v="8"/>
    <x v="1"/>
    <x v="6"/>
    <n v="20"/>
    <n v="3200"/>
    <n v="64000"/>
    <n v="46080"/>
    <n v="17920"/>
    <s v="架空サンプル"/>
    <x v="2"/>
    <x v="0"/>
    <x v="2"/>
  </r>
  <r>
    <x v="6"/>
    <x v="1"/>
    <x v="7"/>
    <n v="30"/>
    <n v="4000"/>
    <n v="120000"/>
    <n v="57600"/>
    <n v="62400"/>
    <s v="架空サンプル"/>
    <x v="2"/>
    <x v="0"/>
    <x v="2"/>
  </r>
  <r>
    <x v="7"/>
    <x v="1"/>
    <x v="7"/>
    <n v="35"/>
    <n v="4000"/>
    <n v="140000"/>
    <n v="67200"/>
    <n v="72800"/>
    <s v="架空サンプル"/>
    <x v="2"/>
    <x v="0"/>
    <x v="2"/>
  </r>
  <r>
    <x v="8"/>
    <x v="1"/>
    <x v="7"/>
    <n v="23"/>
    <n v="4000"/>
    <n v="92000"/>
    <n v="44160"/>
    <n v="47840"/>
    <s v="架空サンプル"/>
    <x v="2"/>
    <x v="0"/>
    <x v="2"/>
  </r>
  <r>
    <x v="9"/>
    <x v="0"/>
    <x v="0"/>
    <n v="15"/>
    <n v="50000"/>
    <n v="750000"/>
    <n v="540000"/>
    <n v="210000"/>
    <s v="架空サンプル"/>
    <x v="3"/>
    <x v="0"/>
    <x v="3"/>
  </r>
  <r>
    <x v="10"/>
    <x v="0"/>
    <x v="0"/>
    <n v="3"/>
    <n v="50000"/>
    <n v="150000"/>
    <n v="108000"/>
    <n v="42000"/>
    <s v="架空サンプル"/>
    <x v="3"/>
    <x v="0"/>
    <x v="3"/>
  </r>
  <r>
    <x v="11"/>
    <x v="0"/>
    <x v="0"/>
    <n v="8"/>
    <n v="50000"/>
    <n v="400000"/>
    <n v="288000"/>
    <n v="112000"/>
    <s v="架空サンプル"/>
    <x v="3"/>
    <x v="0"/>
    <x v="3"/>
  </r>
  <r>
    <x v="9"/>
    <x v="0"/>
    <x v="1"/>
    <n v="18"/>
    <n v="15000"/>
    <n v="270000"/>
    <n v="129600"/>
    <n v="140400"/>
    <s v="架空サンプル"/>
    <x v="3"/>
    <x v="0"/>
    <x v="3"/>
  </r>
  <r>
    <x v="10"/>
    <x v="0"/>
    <x v="1"/>
    <n v="6"/>
    <n v="15000"/>
    <n v="90000"/>
    <n v="43200"/>
    <n v="46800"/>
    <s v="架空サンプル"/>
    <x v="3"/>
    <x v="0"/>
    <x v="3"/>
  </r>
  <r>
    <x v="11"/>
    <x v="0"/>
    <x v="1"/>
    <n v="11"/>
    <n v="15000"/>
    <n v="165000"/>
    <n v="79200"/>
    <n v="85800"/>
    <s v="架空サンプル"/>
    <x v="3"/>
    <x v="0"/>
    <x v="3"/>
  </r>
  <r>
    <x v="9"/>
    <x v="0"/>
    <x v="2"/>
    <n v="4"/>
    <n v="35000"/>
    <n v="140000"/>
    <n v="75600"/>
    <n v="64400"/>
    <s v="架空サンプル"/>
    <x v="3"/>
    <x v="0"/>
    <x v="3"/>
  </r>
  <r>
    <x v="10"/>
    <x v="0"/>
    <x v="2"/>
    <n v="9"/>
    <n v="35000"/>
    <n v="315000"/>
    <n v="170100"/>
    <n v="144900"/>
    <s v="架空サンプル"/>
    <x v="3"/>
    <x v="0"/>
    <x v="3"/>
  </r>
  <r>
    <x v="11"/>
    <x v="0"/>
    <x v="2"/>
    <n v="14"/>
    <n v="35000"/>
    <n v="490000"/>
    <n v="264600"/>
    <n v="225400"/>
    <s v="架空サンプル"/>
    <x v="3"/>
    <x v="0"/>
    <x v="3"/>
  </r>
  <r>
    <x v="9"/>
    <x v="0"/>
    <x v="3"/>
    <n v="7"/>
    <n v="2500"/>
    <n v="17500"/>
    <n v="10500"/>
    <n v="7000"/>
    <s v="架空サンプル"/>
    <x v="3"/>
    <x v="0"/>
    <x v="3"/>
  </r>
  <r>
    <x v="10"/>
    <x v="0"/>
    <x v="3"/>
    <n v="12"/>
    <n v="2500"/>
    <n v="30000"/>
    <n v="18000"/>
    <n v="12000"/>
    <s v="架空サンプル"/>
    <x v="3"/>
    <x v="0"/>
    <x v="3"/>
  </r>
  <r>
    <x v="11"/>
    <x v="0"/>
    <x v="3"/>
    <n v="17"/>
    <n v="2500"/>
    <n v="42500"/>
    <n v="25500"/>
    <n v="17000"/>
    <s v="架空サンプル"/>
    <x v="3"/>
    <x v="0"/>
    <x v="3"/>
  </r>
  <r>
    <x v="9"/>
    <x v="1"/>
    <x v="4"/>
    <n v="28"/>
    <n v="2000"/>
    <n v="56000"/>
    <n v="36960"/>
    <n v="19040"/>
    <s v="架空サンプル"/>
    <x v="3"/>
    <x v="0"/>
    <x v="3"/>
  </r>
  <r>
    <x v="10"/>
    <x v="1"/>
    <x v="4"/>
    <n v="33"/>
    <n v="2000"/>
    <n v="66000"/>
    <n v="43560"/>
    <n v="22440"/>
    <s v="架空サンプル"/>
    <x v="3"/>
    <x v="0"/>
    <x v="3"/>
  </r>
  <r>
    <x v="11"/>
    <x v="1"/>
    <x v="4"/>
    <n v="21"/>
    <n v="2000"/>
    <n v="42000"/>
    <n v="27720"/>
    <n v="14280"/>
    <s v="架空サンプル"/>
    <x v="3"/>
    <x v="0"/>
    <x v="3"/>
  </r>
  <r>
    <x v="9"/>
    <x v="1"/>
    <x v="5"/>
    <n v="31"/>
    <n v="1800"/>
    <n v="55800"/>
    <n v="40176"/>
    <n v="15624"/>
    <s v="架空サンプル"/>
    <x v="3"/>
    <x v="0"/>
    <x v="3"/>
  </r>
  <r>
    <x v="10"/>
    <x v="1"/>
    <x v="5"/>
    <n v="36"/>
    <n v="1800"/>
    <n v="64800"/>
    <n v="46656"/>
    <n v="18144"/>
    <s v="架空サンプル"/>
    <x v="3"/>
    <x v="0"/>
    <x v="3"/>
  </r>
  <r>
    <x v="11"/>
    <x v="1"/>
    <x v="5"/>
    <n v="24"/>
    <n v="1800"/>
    <n v="43200"/>
    <n v="31104"/>
    <n v="12096"/>
    <s v="架空サンプル"/>
    <x v="3"/>
    <x v="0"/>
    <x v="3"/>
  </r>
  <r>
    <x v="9"/>
    <x v="1"/>
    <x v="6"/>
    <n v="34"/>
    <n v="3200"/>
    <n v="108800"/>
    <n v="52224"/>
    <n v="56576"/>
    <s v="架空サンプル"/>
    <x v="3"/>
    <x v="0"/>
    <x v="3"/>
  </r>
  <r>
    <x v="10"/>
    <x v="1"/>
    <x v="6"/>
    <n v="22"/>
    <n v="3200"/>
    <n v="70400"/>
    <n v="33792"/>
    <n v="36608"/>
    <s v="架空サンプル"/>
    <x v="3"/>
    <x v="0"/>
    <x v="3"/>
  </r>
  <r>
    <x v="11"/>
    <x v="1"/>
    <x v="6"/>
    <n v="27"/>
    <n v="3200"/>
    <n v="86400"/>
    <n v="41472"/>
    <n v="44928"/>
    <s v="架空サンプル"/>
    <x v="3"/>
    <x v="0"/>
    <x v="3"/>
  </r>
  <r>
    <x v="9"/>
    <x v="1"/>
    <x v="7"/>
    <n v="20"/>
    <n v="4000"/>
    <n v="80000"/>
    <n v="43200"/>
    <n v="36800"/>
    <s v="架空サンプル"/>
    <x v="3"/>
    <x v="0"/>
    <x v="3"/>
  </r>
  <r>
    <x v="10"/>
    <x v="1"/>
    <x v="7"/>
    <n v="25"/>
    <n v="4000"/>
    <n v="100000"/>
    <n v="54000"/>
    <n v="46000"/>
    <s v="架空サンプル"/>
    <x v="3"/>
    <x v="0"/>
    <x v="3"/>
  </r>
  <r>
    <x v="11"/>
    <x v="1"/>
    <x v="7"/>
    <n v="30"/>
    <n v="4000"/>
    <n v="120000"/>
    <n v="64800"/>
    <n v="55200"/>
    <s v="架空サンプル"/>
    <x v="3"/>
    <x v="0"/>
    <x v="3"/>
  </r>
  <r>
    <x v="12"/>
    <x v="0"/>
    <x v="0"/>
    <n v="5"/>
    <n v="50000"/>
    <n v="250000"/>
    <n v="120000"/>
    <n v="130000"/>
    <s v="架空サンプル"/>
    <x v="4"/>
    <x v="0"/>
    <x v="4"/>
  </r>
  <r>
    <x v="13"/>
    <x v="0"/>
    <x v="0"/>
    <n v="10"/>
    <n v="50000"/>
    <n v="500000"/>
    <n v="240000"/>
    <n v="260000"/>
    <s v="架空サンプル"/>
    <x v="4"/>
    <x v="0"/>
    <x v="4"/>
  </r>
  <r>
    <x v="14"/>
    <x v="0"/>
    <x v="0"/>
    <n v="15"/>
    <n v="50000"/>
    <n v="750000"/>
    <n v="360000"/>
    <n v="390000"/>
    <s v="架空サンプル"/>
    <x v="4"/>
    <x v="0"/>
    <x v="4"/>
  </r>
  <r>
    <x v="12"/>
    <x v="0"/>
    <x v="1"/>
    <n v="8"/>
    <n v="15000"/>
    <n v="120000"/>
    <n v="64800"/>
    <n v="55200"/>
    <s v="架空サンプル"/>
    <x v="4"/>
    <x v="0"/>
    <x v="4"/>
  </r>
  <r>
    <x v="13"/>
    <x v="0"/>
    <x v="1"/>
    <n v="13"/>
    <n v="15000"/>
    <n v="195000"/>
    <n v="105300"/>
    <n v="89700"/>
    <s v="架空サンプル"/>
    <x v="4"/>
    <x v="0"/>
    <x v="4"/>
  </r>
  <r>
    <x v="14"/>
    <x v="0"/>
    <x v="1"/>
    <n v="18"/>
    <n v="15000"/>
    <n v="270000"/>
    <n v="145800"/>
    <n v="124200"/>
    <s v="架空サンプル"/>
    <x v="4"/>
    <x v="0"/>
    <x v="4"/>
  </r>
  <r>
    <x v="12"/>
    <x v="0"/>
    <x v="2"/>
    <n v="11"/>
    <n v="35000"/>
    <n v="385000"/>
    <n v="231000"/>
    <n v="154000"/>
    <s v="架空サンプル"/>
    <x v="4"/>
    <x v="0"/>
    <x v="4"/>
  </r>
  <r>
    <x v="13"/>
    <x v="0"/>
    <x v="2"/>
    <n v="16"/>
    <n v="35000"/>
    <n v="560000"/>
    <n v="336000"/>
    <n v="224000"/>
    <s v="架空サンプル"/>
    <x v="4"/>
    <x v="0"/>
    <x v="4"/>
  </r>
  <r>
    <x v="14"/>
    <x v="0"/>
    <x v="2"/>
    <n v="4"/>
    <n v="35000"/>
    <n v="140000"/>
    <n v="84000"/>
    <n v="56000"/>
    <s v="架空サンプル"/>
    <x v="4"/>
    <x v="0"/>
    <x v="4"/>
  </r>
  <r>
    <x v="12"/>
    <x v="0"/>
    <x v="3"/>
    <n v="14"/>
    <n v="2500"/>
    <n v="35000"/>
    <n v="23100"/>
    <n v="11900"/>
    <s v="架空サンプル"/>
    <x v="4"/>
    <x v="0"/>
    <x v="4"/>
  </r>
  <r>
    <x v="13"/>
    <x v="0"/>
    <x v="3"/>
    <n v="2"/>
    <n v="2500"/>
    <n v="5000"/>
    <n v="3300"/>
    <n v="1700"/>
    <s v="架空サンプル"/>
    <x v="4"/>
    <x v="0"/>
    <x v="4"/>
  </r>
  <r>
    <x v="14"/>
    <x v="0"/>
    <x v="3"/>
    <n v="7"/>
    <n v="2500"/>
    <n v="17500"/>
    <n v="11550"/>
    <n v="5950"/>
    <s v="架空サンプル"/>
    <x v="4"/>
    <x v="0"/>
    <x v="4"/>
  </r>
  <r>
    <x v="12"/>
    <x v="1"/>
    <x v="4"/>
    <n v="35"/>
    <n v="2000"/>
    <n v="70000"/>
    <n v="50400"/>
    <n v="19600"/>
    <s v="架空サンプル"/>
    <x v="4"/>
    <x v="0"/>
    <x v="4"/>
  </r>
  <r>
    <x v="13"/>
    <x v="1"/>
    <x v="4"/>
    <n v="23"/>
    <n v="2000"/>
    <n v="46000"/>
    <n v="33120"/>
    <n v="12880"/>
    <s v="架空サンプル"/>
    <x v="4"/>
    <x v="0"/>
    <x v="4"/>
  </r>
  <r>
    <x v="14"/>
    <x v="1"/>
    <x v="4"/>
    <n v="28"/>
    <n v="2000"/>
    <n v="56000"/>
    <n v="40320"/>
    <n v="15680"/>
    <s v="架空サンプル"/>
    <x v="4"/>
    <x v="0"/>
    <x v="4"/>
  </r>
  <r>
    <x v="12"/>
    <x v="1"/>
    <x v="5"/>
    <n v="21"/>
    <n v="1800"/>
    <n v="37800"/>
    <n v="18144"/>
    <n v="19656"/>
    <s v="架空サンプル"/>
    <x v="4"/>
    <x v="0"/>
    <x v="4"/>
  </r>
  <r>
    <x v="13"/>
    <x v="1"/>
    <x v="5"/>
    <n v="26"/>
    <n v="1800"/>
    <n v="46800"/>
    <n v="22464"/>
    <n v="24336"/>
    <s v="架空サンプル"/>
    <x v="4"/>
    <x v="0"/>
    <x v="4"/>
  </r>
  <r>
    <x v="14"/>
    <x v="1"/>
    <x v="5"/>
    <n v="31"/>
    <n v="1800"/>
    <n v="55800"/>
    <n v="26784"/>
    <n v="29016"/>
    <s v="架空サンプル"/>
    <x v="4"/>
    <x v="0"/>
    <x v="4"/>
  </r>
  <r>
    <x v="12"/>
    <x v="1"/>
    <x v="6"/>
    <n v="24"/>
    <n v="3200"/>
    <n v="76800"/>
    <n v="41472"/>
    <n v="35328"/>
    <s v="架空サンプル"/>
    <x v="4"/>
    <x v="0"/>
    <x v="4"/>
  </r>
  <r>
    <x v="13"/>
    <x v="1"/>
    <x v="6"/>
    <n v="29"/>
    <n v="3200"/>
    <n v="92800"/>
    <n v="50112"/>
    <n v="42688"/>
    <s v="架空サンプル"/>
    <x v="4"/>
    <x v="0"/>
    <x v="4"/>
  </r>
  <r>
    <x v="14"/>
    <x v="1"/>
    <x v="6"/>
    <n v="34"/>
    <n v="3200"/>
    <n v="108800"/>
    <n v="58752"/>
    <n v="50048"/>
    <s v="架空サンプル"/>
    <x v="4"/>
    <x v="0"/>
    <x v="4"/>
  </r>
  <r>
    <x v="12"/>
    <x v="1"/>
    <x v="7"/>
    <n v="27"/>
    <n v="4000"/>
    <n v="108000"/>
    <n v="64800"/>
    <n v="43200"/>
    <s v="架空サンプル"/>
    <x v="4"/>
    <x v="0"/>
    <x v="4"/>
  </r>
  <r>
    <x v="13"/>
    <x v="1"/>
    <x v="7"/>
    <n v="32"/>
    <n v="4000"/>
    <n v="128000"/>
    <n v="76800"/>
    <n v="51200"/>
    <s v="架空サンプル"/>
    <x v="4"/>
    <x v="0"/>
    <x v="4"/>
  </r>
  <r>
    <x v="14"/>
    <x v="1"/>
    <x v="7"/>
    <n v="20"/>
    <n v="4000"/>
    <n v="80000"/>
    <n v="48000"/>
    <n v="32000"/>
    <s v="架空サンプル"/>
    <x v="4"/>
    <x v="0"/>
    <x v="4"/>
  </r>
  <r>
    <x v="15"/>
    <x v="0"/>
    <x v="0"/>
    <n v="12"/>
    <n v="50000"/>
    <n v="600000"/>
    <n v="324000"/>
    <n v="276000"/>
    <s v="架空サンプル"/>
    <x v="5"/>
    <x v="0"/>
    <x v="5"/>
  </r>
  <r>
    <x v="16"/>
    <x v="0"/>
    <x v="0"/>
    <n v="17"/>
    <n v="50000"/>
    <n v="850000"/>
    <n v="459000"/>
    <n v="391000"/>
    <s v="架空サンプル"/>
    <x v="5"/>
    <x v="0"/>
    <x v="5"/>
  </r>
  <r>
    <x v="17"/>
    <x v="0"/>
    <x v="0"/>
    <n v="5"/>
    <n v="50000"/>
    <n v="250000"/>
    <n v="135000"/>
    <n v="115000"/>
    <s v="架空サンプル"/>
    <x v="5"/>
    <x v="0"/>
    <x v="5"/>
  </r>
  <r>
    <x v="15"/>
    <x v="0"/>
    <x v="1"/>
    <n v="15"/>
    <n v="15000"/>
    <n v="225000"/>
    <n v="135000"/>
    <n v="90000"/>
    <s v="架空サンプル"/>
    <x v="5"/>
    <x v="0"/>
    <x v="5"/>
  </r>
  <r>
    <x v="16"/>
    <x v="0"/>
    <x v="1"/>
    <n v="3"/>
    <n v="15000"/>
    <n v="45000"/>
    <n v="27000"/>
    <n v="18000"/>
    <s v="架空サンプル"/>
    <x v="5"/>
    <x v="0"/>
    <x v="5"/>
  </r>
  <r>
    <x v="17"/>
    <x v="0"/>
    <x v="1"/>
    <n v="8"/>
    <n v="15000"/>
    <n v="120000"/>
    <n v="72000"/>
    <n v="48000"/>
    <s v="架空サンプル"/>
    <x v="5"/>
    <x v="0"/>
    <x v="5"/>
  </r>
  <r>
    <x v="15"/>
    <x v="0"/>
    <x v="2"/>
    <n v="18"/>
    <n v="35000"/>
    <n v="630000"/>
    <n v="415800"/>
    <n v="214200"/>
    <s v="架空サンプル"/>
    <x v="5"/>
    <x v="0"/>
    <x v="5"/>
  </r>
  <r>
    <x v="16"/>
    <x v="0"/>
    <x v="2"/>
    <n v="6"/>
    <n v="35000"/>
    <n v="210000"/>
    <n v="138600"/>
    <n v="71400"/>
    <s v="架空サンプル"/>
    <x v="5"/>
    <x v="0"/>
    <x v="5"/>
  </r>
  <r>
    <x v="17"/>
    <x v="0"/>
    <x v="2"/>
    <n v="11"/>
    <n v="35000"/>
    <n v="385000"/>
    <n v="254100"/>
    <n v="130900"/>
    <s v="架空サンプル"/>
    <x v="5"/>
    <x v="0"/>
    <x v="5"/>
  </r>
  <r>
    <x v="15"/>
    <x v="0"/>
    <x v="3"/>
    <n v="4"/>
    <n v="2500"/>
    <n v="10000"/>
    <n v="7200"/>
    <n v="2800"/>
    <s v="架空サンプル"/>
    <x v="5"/>
    <x v="0"/>
    <x v="5"/>
  </r>
  <r>
    <x v="16"/>
    <x v="0"/>
    <x v="3"/>
    <n v="9"/>
    <n v="2500"/>
    <n v="22500"/>
    <n v="16200"/>
    <n v="6300"/>
    <s v="架空サンプル"/>
    <x v="5"/>
    <x v="0"/>
    <x v="5"/>
  </r>
  <r>
    <x v="17"/>
    <x v="0"/>
    <x v="3"/>
    <n v="14"/>
    <n v="2500"/>
    <n v="35000"/>
    <n v="25200"/>
    <n v="9800"/>
    <s v="架空サンプル"/>
    <x v="5"/>
    <x v="0"/>
    <x v="5"/>
  </r>
  <r>
    <x v="15"/>
    <x v="1"/>
    <x v="4"/>
    <n v="25"/>
    <n v="2000"/>
    <n v="50000"/>
    <n v="24000"/>
    <n v="26000"/>
    <s v="架空サンプル"/>
    <x v="5"/>
    <x v="0"/>
    <x v="5"/>
  </r>
  <r>
    <x v="16"/>
    <x v="1"/>
    <x v="4"/>
    <n v="30"/>
    <n v="2000"/>
    <n v="60000"/>
    <n v="28800"/>
    <n v="31200"/>
    <s v="架空サンプル"/>
    <x v="5"/>
    <x v="0"/>
    <x v="5"/>
  </r>
  <r>
    <x v="17"/>
    <x v="1"/>
    <x v="4"/>
    <n v="35"/>
    <n v="2000"/>
    <n v="70000"/>
    <n v="33600"/>
    <n v="36400"/>
    <s v="架空サンプル"/>
    <x v="5"/>
    <x v="0"/>
    <x v="5"/>
  </r>
  <r>
    <x v="15"/>
    <x v="1"/>
    <x v="5"/>
    <n v="28"/>
    <n v="1800"/>
    <n v="50400"/>
    <n v="27216"/>
    <n v="23184"/>
    <s v="架空サンプル"/>
    <x v="5"/>
    <x v="0"/>
    <x v="5"/>
  </r>
  <r>
    <x v="16"/>
    <x v="1"/>
    <x v="5"/>
    <n v="33"/>
    <n v="1800"/>
    <n v="59400"/>
    <n v="32076"/>
    <n v="27324"/>
    <s v="架空サンプル"/>
    <x v="5"/>
    <x v="0"/>
    <x v="5"/>
  </r>
  <r>
    <x v="17"/>
    <x v="1"/>
    <x v="5"/>
    <n v="21"/>
    <n v="1800"/>
    <n v="37800"/>
    <n v="20412"/>
    <n v="17388"/>
    <s v="架空サンプル"/>
    <x v="5"/>
    <x v="0"/>
    <x v="5"/>
  </r>
  <r>
    <x v="15"/>
    <x v="1"/>
    <x v="6"/>
    <n v="31"/>
    <n v="3200"/>
    <n v="99200"/>
    <n v="59520"/>
    <n v="39680"/>
    <s v="架空サンプル"/>
    <x v="5"/>
    <x v="0"/>
    <x v="5"/>
  </r>
  <r>
    <x v="16"/>
    <x v="1"/>
    <x v="6"/>
    <n v="36"/>
    <n v="3200"/>
    <n v="115200"/>
    <n v="69120"/>
    <n v="46080"/>
    <s v="架空サンプル"/>
    <x v="5"/>
    <x v="0"/>
    <x v="5"/>
  </r>
  <r>
    <x v="17"/>
    <x v="1"/>
    <x v="6"/>
    <n v="24"/>
    <n v="3200"/>
    <n v="76800"/>
    <n v="46080"/>
    <n v="30720"/>
    <s v="架空サンプル"/>
    <x v="5"/>
    <x v="0"/>
    <x v="5"/>
  </r>
  <r>
    <x v="15"/>
    <x v="1"/>
    <x v="7"/>
    <n v="34"/>
    <n v="4000"/>
    <n v="136000"/>
    <n v="89760"/>
    <n v="46240"/>
    <s v="架空サンプル"/>
    <x v="5"/>
    <x v="0"/>
    <x v="5"/>
  </r>
  <r>
    <x v="16"/>
    <x v="1"/>
    <x v="7"/>
    <n v="22"/>
    <n v="4000"/>
    <n v="88000"/>
    <n v="58080"/>
    <n v="29920"/>
    <s v="架空サンプル"/>
    <x v="5"/>
    <x v="0"/>
    <x v="5"/>
  </r>
  <r>
    <x v="17"/>
    <x v="1"/>
    <x v="7"/>
    <n v="27"/>
    <n v="4000"/>
    <n v="108000"/>
    <n v="71280"/>
    <n v="36720"/>
    <s v="架空サンプル"/>
    <x v="5"/>
    <x v="0"/>
    <x v="5"/>
  </r>
  <r>
    <x v="18"/>
    <x v="0"/>
    <x v="0"/>
    <n v="2"/>
    <n v="50000"/>
    <n v="100000"/>
    <n v="60000"/>
    <n v="40000"/>
    <s v="架空サンプル"/>
    <x v="6"/>
    <x v="0"/>
    <x v="6"/>
  </r>
  <r>
    <x v="19"/>
    <x v="0"/>
    <x v="0"/>
    <n v="7"/>
    <n v="50000"/>
    <n v="350000"/>
    <n v="210000"/>
    <n v="140000"/>
    <s v="架空サンプル"/>
    <x v="6"/>
    <x v="0"/>
    <x v="6"/>
  </r>
  <r>
    <x v="20"/>
    <x v="0"/>
    <x v="0"/>
    <n v="12"/>
    <n v="50000"/>
    <n v="600000"/>
    <n v="360000"/>
    <n v="240000"/>
    <s v="架空サンプル"/>
    <x v="6"/>
    <x v="0"/>
    <x v="6"/>
  </r>
  <r>
    <x v="18"/>
    <x v="0"/>
    <x v="1"/>
    <n v="5"/>
    <n v="15000"/>
    <n v="75000"/>
    <n v="49500"/>
    <n v="25500"/>
    <s v="架空サンプル"/>
    <x v="6"/>
    <x v="0"/>
    <x v="6"/>
  </r>
  <r>
    <x v="19"/>
    <x v="0"/>
    <x v="1"/>
    <n v="10"/>
    <n v="15000"/>
    <n v="150000"/>
    <n v="99000"/>
    <n v="51000"/>
    <s v="架空サンプル"/>
    <x v="6"/>
    <x v="0"/>
    <x v="6"/>
  </r>
  <r>
    <x v="20"/>
    <x v="0"/>
    <x v="1"/>
    <n v="15"/>
    <n v="15000"/>
    <n v="225000"/>
    <n v="148500"/>
    <n v="76500"/>
    <s v="架空サンプル"/>
    <x v="6"/>
    <x v="0"/>
    <x v="6"/>
  </r>
  <r>
    <x v="18"/>
    <x v="0"/>
    <x v="2"/>
    <n v="8"/>
    <n v="35000"/>
    <n v="280000"/>
    <n v="201600"/>
    <n v="78400"/>
    <s v="架空サンプル"/>
    <x v="6"/>
    <x v="0"/>
    <x v="6"/>
  </r>
  <r>
    <x v="19"/>
    <x v="0"/>
    <x v="2"/>
    <n v="13"/>
    <n v="35000"/>
    <n v="455000"/>
    <n v="327600"/>
    <n v="127400"/>
    <s v="架空サンプル"/>
    <x v="6"/>
    <x v="0"/>
    <x v="6"/>
  </r>
  <r>
    <x v="20"/>
    <x v="0"/>
    <x v="2"/>
    <n v="18"/>
    <n v="35000"/>
    <n v="630000"/>
    <n v="453600"/>
    <n v="176400"/>
    <s v="架空サンプル"/>
    <x v="6"/>
    <x v="0"/>
    <x v="6"/>
  </r>
  <r>
    <x v="18"/>
    <x v="0"/>
    <x v="3"/>
    <n v="11"/>
    <n v="2500"/>
    <n v="27500"/>
    <n v="13200"/>
    <n v="14300"/>
    <s v="架空サンプル"/>
    <x v="6"/>
    <x v="0"/>
    <x v="6"/>
  </r>
  <r>
    <x v="19"/>
    <x v="0"/>
    <x v="3"/>
    <n v="16"/>
    <n v="2500"/>
    <n v="40000"/>
    <n v="19200"/>
    <n v="20800"/>
    <s v="架空サンプル"/>
    <x v="6"/>
    <x v="0"/>
    <x v="6"/>
  </r>
  <r>
    <x v="20"/>
    <x v="0"/>
    <x v="3"/>
    <n v="4"/>
    <n v="2500"/>
    <n v="10000"/>
    <n v="4800"/>
    <n v="5200"/>
    <s v="架空サンプル"/>
    <x v="6"/>
    <x v="0"/>
    <x v="6"/>
  </r>
  <r>
    <x v="18"/>
    <x v="1"/>
    <x v="4"/>
    <n v="32"/>
    <n v="2000"/>
    <n v="64000"/>
    <n v="34560"/>
    <n v="29440"/>
    <s v="架空サンプル"/>
    <x v="6"/>
    <x v="0"/>
    <x v="6"/>
  </r>
  <r>
    <x v="19"/>
    <x v="1"/>
    <x v="4"/>
    <n v="20"/>
    <n v="2000"/>
    <n v="40000"/>
    <n v="21600"/>
    <n v="18400"/>
    <s v="架空サンプル"/>
    <x v="6"/>
    <x v="0"/>
    <x v="6"/>
  </r>
  <r>
    <x v="20"/>
    <x v="1"/>
    <x v="4"/>
    <n v="25"/>
    <n v="2000"/>
    <n v="50000"/>
    <n v="27000"/>
    <n v="23000"/>
    <s v="架空サンプル"/>
    <x v="6"/>
    <x v="0"/>
    <x v="6"/>
  </r>
  <r>
    <x v="18"/>
    <x v="1"/>
    <x v="5"/>
    <n v="35"/>
    <n v="1800"/>
    <n v="63000"/>
    <n v="37800"/>
    <n v="25200"/>
    <s v="架空サンプル"/>
    <x v="6"/>
    <x v="0"/>
    <x v="6"/>
  </r>
  <r>
    <x v="19"/>
    <x v="1"/>
    <x v="5"/>
    <n v="23"/>
    <n v="1800"/>
    <n v="41400"/>
    <n v="24840"/>
    <n v="16560"/>
    <s v="架空サンプル"/>
    <x v="6"/>
    <x v="0"/>
    <x v="6"/>
  </r>
  <r>
    <x v="20"/>
    <x v="1"/>
    <x v="5"/>
    <n v="28"/>
    <n v="1800"/>
    <n v="50400"/>
    <n v="30240"/>
    <n v="20160"/>
    <s v="架空サンプル"/>
    <x v="6"/>
    <x v="0"/>
    <x v="6"/>
  </r>
  <r>
    <x v="18"/>
    <x v="1"/>
    <x v="6"/>
    <n v="21"/>
    <n v="3200"/>
    <n v="67200"/>
    <n v="44352"/>
    <n v="22848"/>
    <s v="架空サンプル"/>
    <x v="6"/>
    <x v="0"/>
    <x v="6"/>
  </r>
  <r>
    <x v="19"/>
    <x v="1"/>
    <x v="6"/>
    <n v="26"/>
    <n v="3200"/>
    <n v="83200"/>
    <n v="54912"/>
    <n v="28288"/>
    <s v="架空サンプル"/>
    <x v="6"/>
    <x v="0"/>
    <x v="6"/>
  </r>
  <r>
    <x v="20"/>
    <x v="1"/>
    <x v="6"/>
    <n v="31"/>
    <n v="3200"/>
    <n v="99200"/>
    <n v="65472"/>
    <n v="33728"/>
    <s v="架空サンプル"/>
    <x v="6"/>
    <x v="0"/>
    <x v="6"/>
  </r>
  <r>
    <x v="18"/>
    <x v="1"/>
    <x v="7"/>
    <n v="24"/>
    <n v="4000"/>
    <n v="96000"/>
    <n v="69120"/>
    <n v="26880"/>
    <s v="架空サンプル"/>
    <x v="6"/>
    <x v="0"/>
    <x v="6"/>
  </r>
  <r>
    <x v="19"/>
    <x v="1"/>
    <x v="7"/>
    <n v="29"/>
    <n v="4000"/>
    <n v="116000"/>
    <n v="83520"/>
    <n v="32480"/>
    <s v="架空サンプル"/>
    <x v="6"/>
    <x v="0"/>
    <x v="6"/>
  </r>
  <r>
    <x v="20"/>
    <x v="1"/>
    <x v="7"/>
    <n v="34"/>
    <n v="4000"/>
    <n v="136000"/>
    <n v="97920"/>
    <n v="38080"/>
    <s v="架空サンプル"/>
    <x v="6"/>
    <x v="0"/>
    <x v="6"/>
  </r>
  <r>
    <x v="21"/>
    <x v="0"/>
    <x v="0"/>
    <n v="9"/>
    <n v="50000"/>
    <n v="450000"/>
    <n v="297000"/>
    <n v="153000"/>
    <s v="架空サンプル"/>
    <x v="7"/>
    <x v="0"/>
    <x v="7"/>
  </r>
  <r>
    <x v="22"/>
    <x v="0"/>
    <x v="0"/>
    <n v="14"/>
    <n v="50000"/>
    <n v="700000"/>
    <n v="462000"/>
    <n v="238000"/>
    <s v="架空サンプル"/>
    <x v="7"/>
    <x v="0"/>
    <x v="7"/>
  </r>
  <r>
    <x v="23"/>
    <x v="0"/>
    <x v="0"/>
    <n v="2"/>
    <n v="50000"/>
    <n v="100000"/>
    <n v="66000"/>
    <n v="34000"/>
    <s v="架空サンプル"/>
    <x v="7"/>
    <x v="0"/>
    <x v="7"/>
  </r>
  <r>
    <x v="21"/>
    <x v="0"/>
    <x v="1"/>
    <n v="12"/>
    <n v="15000"/>
    <n v="180000"/>
    <n v="129600"/>
    <n v="50400"/>
    <s v="架空サンプル"/>
    <x v="7"/>
    <x v="0"/>
    <x v="7"/>
  </r>
  <r>
    <x v="22"/>
    <x v="0"/>
    <x v="1"/>
    <n v="17"/>
    <n v="15000"/>
    <n v="255000"/>
    <n v="183600"/>
    <n v="71400"/>
    <s v="架空サンプル"/>
    <x v="7"/>
    <x v="0"/>
    <x v="7"/>
  </r>
  <r>
    <x v="23"/>
    <x v="0"/>
    <x v="1"/>
    <n v="5"/>
    <n v="15000"/>
    <n v="75000"/>
    <n v="54000"/>
    <n v="21000"/>
    <s v="架空サンプル"/>
    <x v="7"/>
    <x v="0"/>
    <x v="7"/>
  </r>
  <r>
    <x v="21"/>
    <x v="0"/>
    <x v="2"/>
    <n v="15"/>
    <n v="35000"/>
    <n v="525000"/>
    <n v="252000"/>
    <n v="273000"/>
    <s v="架空サンプル"/>
    <x v="7"/>
    <x v="0"/>
    <x v="7"/>
  </r>
  <r>
    <x v="22"/>
    <x v="0"/>
    <x v="2"/>
    <n v="3"/>
    <n v="35000"/>
    <n v="105000"/>
    <n v="50400"/>
    <n v="54600"/>
    <s v="架空サンプル"/>
    <x v="7"/>
    <x v="0"/>
    <x v="7"/>
  </r>
  <r>
    <x v="23"/>
    <x v="0"/>
    <x v="2"/>
    <n v="8"/>
    <n v="35000"/>
    <n v="280000"/>
    <n v="134400"/>
    <n v="145600"/>
    <s v="架空サンプル"/>
    <x v="7"/>
    <x v="0"/>
    <x v="7"/>
  </r>
  <r>
    <x v="21"/>
    <x v="0"/>
    <x v="3"/>
    <n v="18"/>
    <n v="2500"/>
    <n v="45000"/>
    <n v="24300"/>
    <n v="20700"/>
    <s v="架空サンプル"/>
    <x v="7"/>
    <x v="0"/>
    <x v="7"/>
  </r>
  <r>
    <x v="22"/>
    <x v="0"/>
    <x v="3"/>
    <n v="6"/>
    <n v="2500"/>
    <n v="15000"/>
    <n v="8100"/>
    <n v="6900"/>
    <s v="架空サンプル"/>
    <x v="7"/>
    <x v="0"/>
    <x v="7"/>
  </r>
  <r>
    <x v="23"/>
    <x v="0"/>
    <x v="3"/>
    <n v="11"/>
    <n v="2500"/>
    <n v="27500"/>
    <n v="14850"/>
    <n v="12650"/>
    <s v="架空サンプル"/>
    <x v="7"/>
    <x v="0"/>
    <x v="7"/>
  </r>
  <r>
    <x v="21"/>
    <x v="1"/>
    <x v="4"/>
    <n v="22"/>
    <n v="2000"/>
    <n v="44000"/>
    <n v="26400"/>
    <n v="17600"/>
    <s v="架空サンプル"/>
    <x v="7"/>
    <x v="0"/>
    <x v="7"/>
  </r>
  <r>
    <x v="22"/>
    <x v="1"/>
    <x v="4"/>
    <n v="27"/>
    <n v="2000"/>
    <n v="54000"/>
    <n v="32400"/>
    <n v="21600"/>
    <s v="架空サンプル"/>
    <x v="7"/>
    <x v="0"/>
    <x v="7"/>
  </r>
  <r>
    <x v="23"/>
    <x v="1"/>
    <x v="4"/>
    <n v="32"/>
    <n v="2000"/>
    <n v="64000"/>
    <n v="38400"/>
    <n v="25600"/>
    <s v="架空サンプル"/>
    <x v="7"/>
    <x v="0"/>
    <x v="7"/>
  </r>
  <r>
    <x v="21"/>
    <x v="1"/>
    <x v="5"/>
    <n v="25"/>
    <n v="1800"/>
    <n v="45000"/>
    <n v="29700"/>
    <n v="15300"/>
    <s v="架空サンプル"/>
    <x v="7"/>
    <x v="0"/>
    <x v="7"/>
  </r>
  <r>
    <x v="22"/>
    <x v="1"/>
    <x v="5"/>
    <n v="30"/>
    <n v="1800"/>
    <n v="54000"/>
    <n v="35640"/>
    <n v="18360"/>
    <s v="架空サンプル"/>
    <x v="7"/>
    <x v="0"/>
    <x v="7"/>
  </r>
  <r>
    <x v="23"/>
    <x v="1"/>
    <x v="5"/>
    <n v="35"/>
    <n v="1800"/>
    <n v="63000"/>
    <n v="41580"/>
    <n v="21420"/>
    <s v="架空サンプル"/>
    <x v="7"/>
    <x v="0"/>
    <x v="7"/>
  </r>
  <r>
    <x v="21"/>
    <x v="1"/>
    <x v="6"/>
    <n v="28"/>
    <n v="3200"/>
    <n v="89600"/>
    <n v="64512"/>
    <n v="25088"/>
    <s v="架空サンプル"/>
    <x v="7"/>
    <x v="0"/>
    <x v="7"/>
  </r>
  <r>
    <x v="22"/>
    <x v="1"/>
    <x v="6"/>
    <n v="33"/>
    <n v="3200"/>
    <n v="105600"/>
    <n v="76032"/>
    <n v="29568"/>
    <s v="架空サンプル"/>
    <x v="7"/>
    <x v="0"/>
    <x v="7"/>
  </r>
  <r>
    <x v="23"/>
    <x v="1"/>
    <x v="6"/>
    <n v="21"/>
    <n v="3200"/>
    <n v="67200"/>
    <n v="48384"/>
    <n v="18816"/>
    <s v="架空サンプル"/>
    <x v="7"/>
    <x v="0"/>
    <x v="7"/>
  </r>
  <r>
    <x v="21"/>
    <x v="1"/>
    <x v="7"/>
    <n v="31"/>
    <n v="4000"/>
    <n v="124000"/>
    <n v="59520"/>
    <n v="64480"/>
    <s v="架空サンプル"/>
    <x v="7"/>
    <x v="0"/>
    <x v="7"/>
  </r>
  <r>
    <x v="22"/>
    <x v="1"/>
    <x v="7"/>
    <n v="36"/>
    <n v="4000"/>
    <n v="144000"/>
    <n v="69120"/>
    <n v="74880"/>
    <s v="架空サンプル"/>
    <x v="7"/>
    <x v="0"/>
    <x v="7"/>
  </r>
  <r>
    <x v="23"/>
    <x v="1"/>
    <x v="7"/>
    <n v="24"/>
    <n v="4000"/>
    <n v="96000"/>
    <n v="46080"/>
    <n v="49920"/>
    <s v="架空サンプル"/>
    <x v="7"/>
    <x v="0"/>
    <x v="7"/>
  </r>
  <r>
    <x v="24"/>
    <x v="0"/>
    <x v="0"/>
    <n v="16"/>
    <n v="50000"/>
    <n v="800000"/>
    <n v="576000"/>
    <n v="224000"/>
    <s v="架空サンプル"/>
    <x v="8"/>
    <x v="0"/>
    <x v="8"/>
  </r>
  <r>
    <x v="25"/>
    <x v="0"/>
    <x v="0"/>
    <n v="4"/>
    <n v="50000"/>
    <n v="200000"/>
    <n v="144000"/>
    <n v="56000"/>
    <s v="架空サンプル"/>
    <x v="8"/>
    <x v="0"/>
    <x v="8"/>
  </r>
  <r>
    <x v="26"/>
    <x v="0"/>
    <x v="0"/>
    <n v="9"/>
    <n v="50000"/>
    <n v="450000"/>
    <n v="324000"/>
    <n v="126000"/>
    <s v="架空サンプル"/>
    <x v="8"/>
    <x v="0"/>
    <x v="8"/>
  </r>
  <r>
    <x v="24"/>
    <x v="0"/>
    <x v="1"/>
    <n v="2"/>
    <n v="15000"/>
    <n v="30000"/>
    <n v="14400"/>
    <n v="15600"/>
    <s v="架空サンプル"/>
    <x v="8"/>
    <x v="0"/>
    <x v="8"/>
  </r>
  <r>
    <x v="25"/>
    <x v="0"/>
    <x v="1"/>
    <n v="7"/>
    <n v="15000"/>
    <n v="105000"/>
    <n v="50400"/>
    <n v="54600"/>
    <s v="架空サンプル"/>
    <x v="8"/>
    <x v="0"/>
    <x v="8"/>
  </r>
  <r>
    <x v="26"/>
    <x v="0"/>
    <x v="1"/>
    <n v="12"/>
    <n v="15000"/>
    <n v="180000"/>
    <n v="86400"/>
    <n v="93600"/>
    <s v="架空サンプル"/>
    <x v="8"/>
    <x v="0"/>
    <x v="8"/>
  </r>
  <r>
    <x v="24"/>
    <x v="0"/>
    <x v="2"/>
    <n v="5"/>
    <n v="35000"/>
    <n v="175000"/>
    <n v="94500"/>
    <n v="80500"/>
    <s v="架空サンプル"/>
    <x v="8"/>
    <x v="0"/>
    <x v="8"/>
  </r>
  <r>
    <x v="25"/>
    <x v="0"/>
    <x v="2"/>
    <n v="10"/>
    <n v="35000"/>
    <n v="350000"/>
    <n v="189000"/>
    <n v="161000"/>
    <s v="架空サンプル"/>
    <x v="8"/>
    <x v="0"/>
    <x v="8"/>
  </r>
  <r>
    <x v="26"/>
    <x v="0"/>
    <x v="2"/>
    <n v="15"/>
    <n v="35000"/>
    <n v="525000"/>
    <n v="283500"/>
    <n v="241500"/>
    <s v="架空サンプル"/>
    <x v="8"/>
    <x v="0"/>
    <x v="8"/>
  </r>
  <r>
    <x v="24"/>
    <x v="0"/>
    <x v="3"/>
    <n v="8"/>
    <n v="2500"/>
    <n v="20000"/>
    <n v="12000"/>
    <n v="8000"/>
    <s v="架空サンプル"/>
    <x v="8"/>
    <x v="0"/>
    <x v="8"/>
  </r>
  <r>
    <x v="25"/>
    <x v="0"/>
    <x v="3"/>
    <n v="13"/>
    <n v="2500"/>
    <n v="32500"/>
    <n v="19500"/>
    <n v="13000"/>
    <s v="架空サンプル"/>
    <x v="8"/>
    <x v="0"/>
    <x v="8"/>
  </r>
  <r>
    <x v="26"/>
    <x v="0"/>
    <x v="3"/>
    <n v="18"/>
    <n v="2500"/>
    <n v="45000"/>
    <n v="27000"/>
    <n v="18000"/>
    <s v="架空サンプル"/>
    <x v="8"/>
    <x v="0"/>
    <x v="8"/>
  </r>
  <r>
    <x v="24"/>
    <x v="1"/>
    <x v="4"/>
    <n v="29"/>
    <n v="2000"/>
    <n v="58000"/>
    <n v="38280"/>
    <n v="19720"/>
    <s v="架空サンプル"/>
    <x v="8"/>
    <x v="0"/>
    <x v="8"/>
  </r>
  <r>
    <x v="25"/>
    <x v="1"/>
    <x v="4"/>
    <n v="34"/>
    <n v="2000"/>
    <n v="68000"/>
    <n v="44880"/>
    <n v="23120"/>
    <s v="架空サンプル"/>
    <x v="8"/>
    <x v="0"/>
    <x v="8"/>
  </r>
  <r>
    <x v="26"/>
    <x v="1"/>
    <x v="4"/>
    <n v="22"/>
    <n v="2000"/>
    <n v="44000"/>
    <n v="29040"/>
    <n v="14960"/>
    <s v="架空サンプル"/>
    <x v="8"/>
    <x v="0"/>
    <x v="8"/>
  </r>
  <r>
    <x v="24"/>
    <x v="1"/>
    <x v="5"/>
    <n v="32"/>
    <n v="1800"/>
    <n v="57600"/>
    <n v="41472"/>
    <n v="16128"/>
    <s v="架空サンプル"/>
    <x v="8"/>
    <x v="0"/>
    <x v="8"/>
  </r>
  <r>
    <x v="25"/>
    <x v="1"/>
    <x v="5"/>
    <n v="20"/>
    <n v="1800"/>
    <n v="36000"/>
    <n v="25920"/>
    <n v="10080"/>
    <s v="架空サンプル"/>
    <x v="8"/>
    <x v="0"/>
    <x v="8"/>
  </r>
  <r>
    <x v="26"/>
    <x v="1"/>
    <x v="5"/>
    <n v="25"/>
    <n v="1800"/>
    <n v="45000"/>
    <n v="32400"/>
    <n v="12600"/>
    <s v="架空サンプル"/>
    <x v="8"/>
    <x v="0"/>
    <x v="8"/>
  </r>
  <r>
    <x v="24"/>
    <x v="1"/>
    <x v="6"/>
    <n v="35"/>
    <n v="3200"/>
    <n v="112000"/>
    <n v="53760"/>
    <n v="58240"/>
    <s v="架空サンプル"/>
    <x v="8"/>
    <x v="0"/>
    <x v="8"/>
  </r>
  <r>
    <x v="25"/>
    <x v="1"/>
    <x v="6"/>
    <n v="23"/>
    <n v="3200"/>
    <n v="73600"/>
    <n v="35328"/>
    <n v="38272"/>
    <s v="架空サンプル"/>
    <x v="8"/>
    <x v="0"/>
    <x v="8"/>
  </r>
  <r>
    <x v="26"/>
    <x v="1"/>
    <x v="6"/>
    <n v="28"/>
    <n v="3200"/>
    <n v="89600"/>
    <n v="43008"/>
    <n v="46592"/>
    <s v="架空サンプル"/>
    <x v="8"/>
    <x v="0"/>
    <x v="8"/>
  </r>
  <r>
    <x v="24"/>
    <x v="1"/>
    <x v="7"/>
    <n v="21"/>
    <n v="4000"/>
    <n v="84000"/>
    <n v="45360"/>
    <n v="38640"/>
    <s v="架空サンプル"/>
    <x v="8"/>
    <x v="0"/>
    <x v="8"/>
  </r>
  <r>
    <x v="25"/>
    <x v="1"/>
    <x v="7"/>
    <n v="26"/>
    <n v="4000"/>
    <n v="104000"/>
    <n v="56160"/>
    <n v="47840"/>
    <s v="架空サンプル"/>
    <x v="8"/>
    <x v="0"/>
    <x v="8"/>
  </r>
  <r>
    <x v="26"/>
    <x v="1"/>
    <x v="7"/>
    <n v="31"/>
    <n v="4000"/>
    <n v="124000"/>
    <n v="66960"/>
    <n v="57040"/>
    <s v="架空サンプル"/>
    <x v="8"/>
    <x v="0"/>
    <x v="8"/>
  </r>
  <r>
    <x v="27"/>
    <x v="0"/>
    <x v="0"/>
    <n v="6"/>
    <n v="50000"/>
    <n v="300000"/>
    <n v="144000"/>
    <n v="156000"/>
    <s v="架空サンプル"/>
    <x v="9"/>
    <x v="0"/>
    <x v="9"/>
  </r>
  <r>
    <x v="28"/>
    <x v="0"/>
    <x v="0"/>
    <n v="11"/>
    <n v="50000"/>
    <n v="550000"/>
    <n v="264000"/>
    <n v="286000"/>
    <s v="架空サンプル"/>
    <x v="9"/>
    <x v="0"/>
    <x v="9"/>
  </r>
  <r>
    <x v="29"/>
    <x v="0"/>
    <x v="0"/>
    <n v="16"/>
    <n v="50000"/>
    <n v="800000"/>
    <n v="384000"/>
    <n v="416000"/>
    <s v="架空サンプル"/>
    <x v="9"/>
    <x v="0"/>
    <x v="9"/>
  </r>
  <r>
    <x v="27"/>
    <x v="0"/>
    <x v="1"/>
    <n v="9"/>
    <n v="15000"/>
    <n v="135000"/>
    <n v="72900"/>
    <n v="62100"/>
    <s v="架空サンプル"/>
    <x v="9"/>
    <x v="0"/>
    <x v="9"/>
  </r>
  <r>
    <x v="28"/>
    <x v="0"/>
    <x v="1"/>
    <n v="14"/>
    <n v="15000"/>
    <n v="210000"/>
    <n v="113400"/>
    <n v="96600"/>
    <s v="架空サンプル"/>
    <x v="9"/>
    <x v="0"/>
    <x v="9"/>
  </r>
  <r>
    <x v="29"/>
    <x v="0"/>
    <x v="1"/>
    <n v="2"/>
    <n v="15000"/>
    <n v="30000"/>
    <n v="16200"/>
    <n v="13800"/>
    <s v="架空サンプル"/>
    <x v="9"/>
    <x v="0"/>
    <x v="9"/>
  </r>
  <r>
    <x v="27"/>
    <x v="0"/>
    <x v="2"/>
    <n v="12"/>
    <n v="35000"/>
    <n v="420000"/>
    <n v="252000"/>
    <n v="168000"/>
    <s v="架空サンプル"/>
    <x v="9"/>
    <x v="0"/>
    <x v="9"/>
  </r>
  <r>
    <x v="28"/>
    <x v="0"/>
    <x v="2"/>
    <n v="17"/>
    <n v="35000"/>
    <n v="595000"/>
    <n v="357000"/>
    <n v="238000"/>
    <s v="架空サンプル"/>
    <x v="9"/>
    <x v="0"/>
    <x v="9"/>
  </r>
  <r>
    <x v="29"/>
    <x v="0"/>
    <x v="2"/>
    <n v="5"/>
    <n v="35000"/>
    <n v="175000"/>
    <n v="105000"/>
    <n v="70000"/>
    <s v="架空サンプル"/>
    <x v="9"/>
    <x v="0"/>
    <x v="9"/>
  </r>
  <r>
    <x v="27"/>
    <x v="0"/>
    <x v="3"/>
    <n v="15"/>
    <n v="2500"/>
    <n v="37500"/>
    <n v="24750"/>
    <n v="12750"/>
    <s v="架空サンプル"/>
    <x v="9"/>
    <x v="0"/>
    <x v="9"/>
  </r>
  <r>
    <x v="28"/>
    <x v="0"/>
    <x v="3"/>
    <n v="3"/>
    <n v="2500"/>
    <n v="7500"/>
    <n v="4950"/>
    <n v="2550"/>
    <s v="架空サンプル"/>
    <x v="9"/>
    <x v="0"/>
    <x v="9"/>
  </r>
  <r>
    <x v="29"/>
    <x v="0"/>
    <x v="3"/>
    <n v="8"/>
    <n v="2500"/>
    <n v="20000"/>
    <n v="13200"/>
    <n v="6800"/>
    <s v="架空サンプル"/>
    <x v="9"/>
    <x v="0"/>
    <x v="9"/>
  </r>
  <r>
    <x v="27"/>
    <x v="1"/>
    <x v="4"/>
    <n v="36"/>
    <n v="2000"/>
    <n v="72000"/>
    <n v="51840"/>
    <n v="20160"/>
    <s v="架空サンプル"/>
    <x v="9"/>
    <x v="0"/>
    <x v="9"/>
  </r>
  <r>
    <x v="28"/>
    <x v="1"/>
    <x v="4"/>
    <n v="24"/>
    <n v="2000"/>
    <n v="48000"/>
    <n v="34560"/>
    <n v="13440"/>
    <s v="架空サンプル"/>
    <x v="9"/>
    <x v="0"/>
    <x v="9"/>
  </r>
  <r>
    <x v="29"/>
    <x v="1"/>
    <x v="4"/>
    <n v="29"/>
    <n v="2000"/>
    <n v="58000"/>
    <n v="41760"/>
    <n v="16240"/>
    <s v="架空サンプル"/>
    <x v="9"/>
    <x v="0"/>
    <x v="9"/>
  </r>
  <r>
    <x v="27"/>
    <x v="1"/>
    <x v="5"/>
    <n v="22"/>
    <n v="1800"/>
    <n v="39600"/>
    <n v="19008"/>
    <n v="20592"/>
    <s v="架空サンプル"/>
    <x v="9"/>
    <x v="0"/>
    <x v="9"/>
  </r>
  <r>
    <x v="28"/>
    <x v="1"/>
    <x v="5"/>
    <n v="27"/>
    <n v="1800"/>
    <n v="48600"/>
    <n v="23328"/>
    <n v="25272"/>
    <s v="架空サンプル"/>
    <x v="9"/>
    <x v="0"/>
    <x v="9"/>
  </r>
  <r>
    <x v="29"/>
    <x v="1"/>
    <x v="5"/>
    <n v="32"/>
    <n v="1800"/>
    <n v="57600"/>
    <n v="27648"/>
    <n v="29952"/>
    <s v="架空サンプル"/>
    <x v="9"/>
    <x v="0"/>
    <x v="9"/>
  </r>
  <r>
    <x v="27"/>
    <x v="1"/>
    <x v="6"/>
    <n v="25"/>
    <n v="3200"/>
    <n v="80000"/>
    <n v="43200"/>
    <n v="36800"/>
    <s v="架空サンプル"/>
    <x v="9"/>
    <x v="0"/>
    <x v="9"/>
  </r>
  <r>
    <x v="28"/>
    <x v="1"/>
    <x v="6"/>
    <n v="30"/>
    <n v="3200"/>
    <n v="96000"/>
    <n v="51840"/>
    <n v="44160"/>
    <s v="架空サンプル"/>
    <x v="9"/>
    <x v="0"/>
    <x v="9"/>
  </r>
  <r>
    <x v="29"/>
    <x v="1"/>
    <x v="6"/>
    <n v="35"/>
    <n v="3200"/>
    <n v="112000"/>
    <n v="60480"/>
    <n v="51520"/>
    <s v="架空サンプル"/>
    <x v="9"/>
    <x v="0"/>
    <x v="9"/>
  </r>
  <r>
    <x v="27"/>
    <x v="1"/>
    <x v="7"/>
    <n v="28"/>
    <n v="4000"/>
    <n v="112000"/>
    <n v="67200"/>
    <n v="44800"/>
    <s v="架空サンプル"/>
    <x v="9"/>
    <x v="0"/>
    <x v="9"/>
  </r>
  <r>
    <x v="28"/>
    <x v="1"/>
    <x v="7"/>
    <n v="33"/>
    <n v="4000"/>
    <n v="132000"/>
    <n v="79200"/>
    <n v="52800"/>
    <s v="架空サンプル"/>
    <x v="9"/>
    <x v="0"/>
    <x v="9"/>
  </r>
  <r>
    <x v="29"/>
    <x v="1"/>
    <x v="7"/>
    <n v="21"/>
    <n v="4000"/>
    <n v="84000"/>
    <n v="50400"/>
    <n v="33600"/>
    <s v="架空サンプル"/>
    <x v="9"/>
    <x v="0"/>
    <x v="9"/>
  </r>
  <r>
    <x v="30"/>
    <x v="0"/>
    <x v="0"/>
    <n v="13"/>
    <n v="50000"/>
    <n v="650000"/>
    <n v="351000"/>
    <n v="299000"/>
    <s v="架空サンプル"/>
    <x v="10"/>
    <x v="0"/>
    <x v="10"/>
  </r>
  <r>
    <x v="31"/>
    <x v="0"/>
    <x v="0"/>
    <n v="18"/>
    <n v="50000"/>
    <n v="900000"/>
    <n v="486000"/>
    <n v="414000"/>
    <s v="架空サンプル"/>
    <x v="10"/>
    <x v="0"/>
    <x v="10"/>
  </r>
  <r>
    <x v="32"/>
    <x v="0"/>
    <x v="0"/>
    <n v="6"/>
    <n v="50000"/>
    <n v="300000"/>
    <n v="162000"/>
    <n v="138000"/>
    <s v="架空サンプル"/>
    <x v="10"/>
    <x v="0"/>
    <x v="10"/>
  </r>
  <r>
    <x v="30"/>
    <x v="0"/>
    <x v="1"/>
    <n v="16"/>
    <n v="15000"/>
    <n v="240000"/>
    <n v="144000"/>
    <n v="96000"/>
    <s v="架空サンプル"/>
    <x v="10"/>
    <x v="0"/>
    <x v="10"/>
  </r>
  <r>
    <x v="31"/>
    <x v="0"/>
    <x v="1"/>
    <n v="4"/>
    <n v="15000"/>
    <n v="60000"/>
    <n v="36000"/>
    <n v="24000"/>
    <s v="架空サンプル"/>
    <x v="10"/>
    <x v="0"/>
    <x v="10"/>
  </r>
  <r>
    <x v="32"/>
    <x v="0"/>
    <x v="1"/>
    <n v="9"/>
    <n v="15000"/>
    <n v="135000"/>
    <n v="81000"/>
    <n v="54000"/>
    <s v="架空サンプル"/>
    <x v="10"/>
    <x v="0"/>
    <x v="10"/>
  </r>
  <r>
    <x v="30"/>
    <x v="0"/>
    <x v="2"/>
    <n v="2"/>
    <n v="35000"/>
    <n v="70000"/>
    <n v="46200"/>
    <n v="23800"/>
    <s v="架空サンプル"/>
    <x v="10"/>
    <x v="0"/>
    <x v="10"/>
  </r>
  <r>
    <x v="31"/>
    <x v="0"/>
    <x v="2"/>
    <n v="7"/>
    <n v="35000"/>
    <n v="245000"/>
    <n v="161700"/>
    <n v="83300"/>
    <s v="架空サンプル"/>
    <x v="10"/>
    <x v="0"/>
    <x v="10"/>
  </r>
  <r>
    <x v="32"/>
    <x v="0"/>
    <x v="2"/>
    <n v="12"/>
    <n v="35000"/>
    <n v="420000"/>
    <n v="277200"/>
    <n v="142800"/>
    <s v="架空サンプル"/>
    <x v="10"/>
    <x v="0"/>
    <x v="10"/>
  </r>
  <r>
    <x v="30"/>
    <x v="0"/>
    <x v="3"/>
    <n v="5"/>
    <n v="2500"/>
    <n v="12500"/>
    <n v="9000"/>
    <n v="3500"/>
    <s v="架空サンプル"/>
    <x v="10"/>
    <x v="0"/>
    <x v="10"/>
  </r>
  <r>
    <x v="31"/>
    <x v="0"/>
    <x v="3"/>
    <n v="10"/>
    <n v="2500"/>
    <n v="25000"/>
    <n v="18000"/>
    <n v="7000"/>
    <s v="架空サンプル"/>
    <x v="10"/>
    <x v="0"/>
    <x v="10"/>
  </r>
  <r>
    <x v="32"/>
    <x v="0"/>
    <x v="3"/>
    <n v="15"/>
    <n v="2500"/>
    <n v="37500"/>
    <n v="27000"/>
    <n v="10500"/>
    <s v="架空サンプル"/>
    <x v="10"/>
    <x v="0"/>
    <x v="10"/>
  </r>
  <r>
    <x v="30"/>
    <x v="1"/>
    <x v="4"/>
    <n v="26"/>
    <n v="2000"/>
    <n v="52000"/>
    <n v="24960"/>
    <n v="27040"/>
    <s v="架空サンプル"/>
    <x v="10"/>
    <x v="0"/>
    <x v="10"/>
  </r>
  <r>
    <x v="31"/>
    <x v="1"/>
    <x v="4"/>
    <n v="31"/>
    <n v="2000"/>
    <n v="62000"/>
    <n v="29760"/>
    <n v="32240"/>
    <s v="架空サンプル"/>
    <x v="10"/>
    <x v="0"/>
    <x v="10"/>
  </r>
  <r>
    <x v="32"/>
    <x v="1"/>
    <x v="4"/>
    <n v="36"/>
    <n v="2000"/>
    <n v="72000"/>
    <n v="34560"/>
    <n v="37440"/>
    <s v="架空サンプル"/>
    <x v="10"/>
    <x v="0"/>
    <x v="10"/>
  </r>
  <r>
    <x v="30"/>
    <x v="1"/>
    <x v="5"/>
    <n v="29"/>
    <n v="1800"/>
    <n v="52200"/>
    <n v="28188"/>
    <n v="24012"/>
    <s v="架空サンプル"/>
    <x v="10"/>
    <x v="0"/>
    <x v="10"/>
  </r>
  <r>
    <x v="31"/>
    <x v="1"/>
    <x v="5"/>
    <n v="34"/>
    <n v="1800"/>
    <n v="61200"/>
    <n v="33048"/>
    <n v="28152"/>
    <s v="架空サンプル"/>
    <x v="10"/>
    <x v="0"/>
    <x v="10"/>
  </r>
  <r>
    <x v="32"/>
    <x v="1"/>
    <x v="5"/>
    <n v="22"/>
    <n v="1800"/>
    <n v="39600"/>
    <n v="21384"/>
    <n v="18216"/>
    <s v="架空サンプル"/>
    <x v="10"/>
    <x v="0"/>
    <x v="10"/>
  </r>
  <r>
    <x v="30"/>
    <x v="1"/>
    <x v="6"/>
    <n v="32"/>
    <n v="3200"/>
    <n v="102400"/>
    <n v="61440"/>
    <n v="40960"/>
    <s v="架空サンプル"/>
    <x v="10"/>
    <x v="0"/>
    <x v="10"/>
  </r>
  <r>
    <x v="31"/>
    <x v="1"/>
    <x v="6"/>
    <n v="20"/>
    <n v="3200"/>
    <n v="64000"/>
    <n v="38400"/>
    <n v="25600"/>
    <s v="架空サンプル"/>
    <x v="10"/>
    <x v="0"/>
    <x v="10"/>
  </r>
  <r>
    <x v="32"/>
    <x v="1"/>
    <x v="6"/>
    <n v="25"/>
    <n v="3200"/>
    <n v="80000"/>
    <n v="48000"/>
    <n v="32000"/>
    <s v="架空サンプル"/>
    <x v="10"/>
    <x v="0"/>
    <x v="10"/>
  </r>
  <r>
    <x v="30"/>
    <x v="1"/>
    <x v="7"/>
    <n v="35"/>
    <n v="4000"/>
    <n v="140000"/>
    <n v="92400"/>
    <n v="47600"/>
    <s v="架空サンプル"/>
    <x v="10"/>
    <x v="0"/>
    <x v="10"/>
  </r>
  <r>
    <x v="31"/>
    <x v="1"/>
    <x v="7"/>
    <n v="23"/>
    <n v="4000"/>
    <n v="92000"/>
    <n v="60720"/>
    <n v="31280"/>
    <s v="架空サンプル"/>
    <x v="10"/>
    <x v="0"/>
    <x v="10"/>
  </r>
  <r>
    <x v="32"/>
    <x v="1"/>
    <x v="7"/>
    <n v="28"/>
    <n v="4000"/>
    <n v="112000"/>
    <n v="73920"/>
    <n v="38080"/>
    <s v="架空サンプル"/>
    <x v="10"/>
    <x v="0"/>
    <x v="10"/>
  </r>
  <r>
    <x v="33"/>
    <x v="0"/>
    <x v="0"/>
    <n v="3"/>
    <n v="50000"/>
    <n v="150000"/>
    <n v="90000"/>
    <n v="60000"/>
    <s v="架空サンプル"/>
    <x v="11"/>
    <x v="0"/>
    <x v="11"/>
  </r>
  <r>
    <x v="34"/>
    <x v="0"/>
    <x v="0"/>
    <n v="8"/>
    <n v="50000"/>
    <n v="400000"/>
    <n v="240000"/>
    <n v="160000"/>
    <s v="架空サンプル"/>
    <x v="11"/>
    <x v="0"/>
    <x v="11"/>
  </r>
  <r>
    <x v="35"/>
    <x v="0"/>
    <x v="0"/>
    <n v="13"/>
    <n v="50000"/>
    <n v="650000"/>
    <n v="390000"/>
    <n v="260000"/>
    <s v="架空サンプル"/>
    <x v="11"/>
    <x v="0"/>
    <x v="11"/>
  </r>
  <r>
    <x v="33"/>
    <x v="0"/>
    <x v="1"/>
    <n v="6"/>
    <n v="15000"/>
    <n v="90000"/>
    <n v="59400"/>
    <n v="30600"/>
    <s v="架空サンプル"/>
    <x v="11"/>
    <x v="0"/>
    <x v="11"/>
  </r>
  <r>
    <x v="34"/>
    <x v="0"/>
    <x v="1"/>
    <n v="11"/>
    <n v="15000"/>
    <n v="165000"/>
    <n v="108900"/>
    <n v="56100"/>
    <s v="架空サンプル"/>
    <x v="11"/>
    <x v="0"/>
    <x v="11"/>
  </r>
  <r>
    <x v="35"/>
    <x v="0"/>
    <x v="1"/>
    <n v="16"/>
    <n v="15000"/>
    <n v="240000"/>
    <n v="158400"/>
    <n v="81600"/>
    <s v="架空サンプル"/>
    <x v="11"/>
    <x v="0"/>
    <x v="11"/>
  </r>
  <r>
    <x v="33"/>
    <x v="0"/>
    <x v="2"/>
    <n v="9"/>
    <n v="35000"/>
    <n v="315000"/>
    <n v="226800"/>
    <n v="88200"/>
    <s v="架空サンプル"/>
    <x v="11"/>
    <x v="0"/>
    <x v="11"/>
  </r>
  <r>
    <x v="34"/>
    <x v="0"/>
    <x v="2"/>
    <n v="14"/>
    <n v="35000"/>
    <n v="490000"/>
    <n v="352800"/>
    <n v="137200"/>
    <s v="架空サンプル"/>
    <x v="11"/>
    <x v="0"/>
    <x v="11"/>
  </r>
  <r>
    <x v="35"/>
    <x v="0"/>
    <x v="2"/>
    <n v="2"/>
    <n v="35000"/>
    <n v="70000"/>
    <n v="50400"/>
    <n v="19600"/>
    <s v="架空サンプル"/>
    <x v="11"/>
    <x v="0"/>
    <x v="11"/>
  </r>
  <r>
    <x v="33"/>
    <x v="0"/>
    <x v="3"/>
    <n v="12"/>
    <n v="2500"/>
    <n v="30000"/>
    <n v="14400"/>
    <n v="15600"/>
    <s v="架空サンプル"/>
    <x v="11"/>
    <x v="0"/>
    <x v="11"/>
  </r>
  <r>
    <x v="34"/>
    <x v="0"/>
    <x v="3"/>
    <n v="17"/>
    <n v="2500"/>
    <n v="42500"/>
    <n v="20400"/>
    <n v="22100"/>
    <s v="架空サンプル"/>
    <x v="11"/>
    <x v="0"/>
    <x v="11"/>
  </r>
  <r>
    <x v="35"/>
    <x v="0"/>
    <x v="3"/>
    <n v="5"/>
    <n v="2500"/>
    <n v="12500"/>
    <n v="6000"/>
    <n v="6500"/>
    <s v="架空サンプル"/>
    <x v="11"/>
    <x v="0"/>
    <x v="11"/>
  </r>
  <r>
    <x v="33"/>
    <x v="1"/>
    <x v="4"/>
    <n v="33"/>
    <n v="2000"/>
    <n v="66000"/>
    <n v="35640"/>
    <n v="30360"/>
    <s v="架空サンプル"/>
    <x v="11"/>
    <x v="0"/>
    <x v="11"/>
  </r>
  <r>
    <x v="34"/>
    <x v="1"/>
    <x v="4"/>
    <n v="21"/>
    <n v="2000"/>
    <n v="42000"/>
    <n v="22680"/>
    <n v="19320"/>
    <s v="架空サンプル"/>
    <x v="11"/>
    <x v="0"/>
    <x v="11"/>
  </r>
  <r>
    <x v="35"/>
    <x v="1"/>
    <x v="4"/>
    <n v="26"/>
    <n v="2000"/>
    <n v="52000"/>
    <n v="28080"/>
    <n v="23920"/>
    <s v="架空サンプル"/>
    <x v="11"/>
    <x v="0"/>
    <x v="11"/>
  </r>
  <r>
    <x v="33"/>
    <x v="1"/>
    <x v="5"/>
    <n v="36"/>
    <n v="1800"/>
    <n v="64800"/>
    <n v="38880"/>
    <n v="25920"/>
    <s v="架空サンプル"/>
    <x v="11"/>
    <x v="0"/>
    <x v="11"/>
  </r>
  <r>
    <x v="34"/>
    <x v="1"/>
    <x v="5"/>
    <n v="24"/>
    <n v="1800"/>
    <n v="43200"/>
    <n v="25920"/>
    <n v="17280"/>
    <s v="架空サンプル"/>
    <x v="11"/>
    <x v="0"/>
    <x v="11"/>
  </r>
  <r>
    <x v="35"/>
    <x v="1"/>
    <x v="5"/>
    <n v="29"/>
    <n v="1800"/>
    <n v="52200"/>
    <n v="31320"/>
    <n v="20880"/>
    <s v="架空サンプル"/>
    <x v="11"/>
    <x v="0"/>
    <x v="11"/>
  </r>
  <r>
    <x v="33"/>
    <x v="1"/>
    <x v="6"/>
    <n v="22"/>
    <n v="3200"/>
    <n v="70400"/>
    <n v="46464"/>
    <n v="23936"/>
    <s v="架空サンプル"/>
    <x v="11"/>
    <x v="0"/>
    <x v="11"/>
  </r>
  <r>
    <x v="34"/>
    <x v="1"/>
    <x v="6"/>
    <n v="27"/>
    <n v="3200"/>
    <n v="86400"/>
    <n v="57024"/>
    <n v="29376"/>
    <s v="架空サンプル"/>
    <x v="11"/>
    <x v="0"/>
    <x v="11"/>
  </r>
  <r>
    <x v="35"/>
    <x v="1"/>
    <x v="6"/>
    <n v="32"/>
    <n v="3200"/>
    <n v="102400"/>
    <n v="67584"/>
    <n v="34816"/>
    <s v="架空サンプル"/>
    <x v="11"/>
    <x v="0"/>
    <x v="11"/>
  </r>
  <r>
    <x v="33"/>
    <x v="1"/>
    <x v="7"/>
    <n v="25"/>
    <n v="4000"/>
    <n v="100000"/>
    <n v="72000"/>
    <n v="28000"/>
    <s v="架空サンプル"/>
    <x v="11"/>
    <x v="0"/>
    <x v="11"/>
  </r>
  <r>
    <x v="34"/>
    <x v="1"/>
    <x v="7"/>
    <n v="30"/>
    <n v="4000"/>
    <n v="120000"/>
    <n v="86400"/>
    <n v="33600"/>
    <s v="架空サンプル"/>
    <x v="11"/>
    <x v="0"/>
    <x v="11"/>
  </r>
  <r>
    <x v="35"/>
    <x v="1"/>
    <x v="7"/>
    <n v="35"/>
    <n v="4000"/>
    <n v="140000"/>
    <n v="100800"/>
    <n v="39200"/>
    <s v="架空サンプル"/>
    <x v="11"/>
    <x v="0"/>
    <x v="11"/>
  </r>
  <r>
    <x v="36"/>
    <x v="0"/>
    <x v="0"/>
    <n v="12"/>
    <n v="50000"/>
    <n v="600000"/>
    <n v="324000"/>
    <n v="276000"/>
    <s v="架空サンプル"/>
    <x v="12"/>
    <x v="1"/>
    <x v="0"/>
  </r>
  <r>
    <x v="37"/>
    <x v="0"/>
    <x v="0"/>
    <n v="17"/>
    <n v="50000"/>
    <n v="850000"/>
    <n v="459000"/>
    <n v="391000"/>
    <s v="架空サンプル"/>
    <x v="12"/>
    <x v="1"/>
    <x v="0"/>
  </r>
  <r>
    <x v="38"/>
    <x v="0"/>
    <x v="0"/>
    <n v="5"/>
    <n v="50000"/>
    <n v="250000"/>
    <n v="135000"/>
    <n v="115000"/>
    <s v="架空サンプル"/>
    <x v="12"/>
    <x v="1"/>
    <x v="0"/>
  </r>
  <r>
    <x v="36"/>
    <x v="0"/>
    <x v="1"/>
    <n v="15"/>
    <n v="15000"/>
    <n v="225000"/>
    <n v="135000"/>
    <n v="90000"/>
    <s v="架空サンプル"/>
    <x v="12"/>
    <x v="1"/>
    <x v="0"/>
  </r>
  <r>
    <x v="37"/>
    <x v="0"/>
    <x v="1"/>
    <n v="3"/>
    <n v="15000"/>
    <n v="45000"/>
    <n v="27000"/>
    <n v="18000"/>
    <s v="架空サンプル"/>
    <x v="12"/>
    <x v="1"/>
    <x v="0"/>
  </r>
  <r>
    <x v="38"/>
    <x v="0"/>
    <x v="1"/>
    <n v="8"/>
    <n v="15000"/>
    <n v="120000"/>
    <n v="72000"/>
    <n v="48000"/>
    <s v="架空サンプル"/>
    <x v="12"/>
    <x v="1"/>
    <x v="0"/>
  </r>
  <r>
    <x v="36"/>
    <x v="0"/>
    <x v="2"/>
    <n v="18"/>
    <n v="35000"/>
    <n v="630000"/>
    <n v="415800"/>
    <n v="214200"/>
    <s v="架空サンプル"/>
    <x v="12"/>
    <x v="1"/>
    <x v="0"/>
  </r>
  <r>
    <x v="37"/>
    <x v="0"/>
    <x v="2"/>
    <n v="6"/>
    <n v="35000"/>
    <n v="210000"/>
    <n v="138600"/>
    <n v="71400"/>
    <s v="架空サンプル"/>
    <x v="12"/>
    <x v="1"/>
    <x v="0"/>
  </r>
  <r>
    <x v="38"/>
    <x v="0"/>
    <x v="2"/>
    <n v="11"/>
    <n v="35000"/>
    <n v="385000"/>
    <n v="254100"/>
    <n v="130900"/>
    <s v="架空サンプル"/>
    <x v="12"/>
    <x v="1"/>
    <x v="0"/>
  </r>
  <r>
    <x v="36"/>
    <x v="0"/>
    <x v="3"/>
    <n v="4"/>
    <n v="2500"/>
    <n v="10000"/>
    <n v="7200"/>
    <n v="2800"/>
    <s v="架空サンプル"/>
    <x v="12"/>
    <x v="1"/>
    <x v="0"/>
  </r>
  <r>
    <x v="37"/>
    <x v="0"/>
    <x v="3"/>
    <n v="9"/>
    <n v="2500"/>
    <n v="22500"/>
    <n v="16200"/>
    <n v="6300"/>
    <s v="架空サンプル"/>
    <x v="12"/>
    <x v="1"/>
    <x v="0"/>
  </r>
  <r>
    <x v="38"/>
    <x v="0"/>
    <x v="3"/>
    <n v="14"/>
    <n v="2500"/>
    <n v="35000"/>
    <n v="25200"/>
    <n v="9800"/>
    <s v="架空サンプル"/>
    <x v="12"/>
    <x v="1"/>
    <x v="0"/>
  </r>
  <r>
    <x v="36"/>
    <x v="1"/>
    <x v="4"/>
    <n v="25"/>
    <n v="2000"/>
    <n v="50000"/>
    <n v="24000"/>
    <n v="26000"/>
    <s v="架空サンプル"/>
    <x v="12"/>
    <x v="1"/>
    <x v="0"/>
  </r>
  <r>
    <x v="37"/>
    <x v="1"/>
    <x v="4"/>
    <n v="30"/>
    <n v="2000"/>
    <n v="60000"/>
    <n v="28800"/>
    <n v="31200"/>
    <s v="架空サンプル"/>
    <x v="12"/>
    <x v="1"/>
    <x v="0"/>
  </r>
  <r>
    <x v="38"/>
    <x v="1"/>
    <x v="4"/>
    <n v="35"/>
    <n v="2000"/>
    <n v="70000"/>
    <n v="33600"/>
    <n v="36400"/>
    <s v="架空サンプル"/>
    <x v="12"/>
    <x v="1"/>
    <x v="0"/>
  </r>
  <r>
    <x v="36"/>
    <x v="1"/>
    <x v="5"/>
    <n v="28"/>
    <n v="1800"/>
    <n v="50400"/>
    <n v="27216"/>
    <n v="23184"/>
    <s v="架空サンプル"/>
    <x v="12"/>
    <x v="1"/>
    <x v="0"/>
  </r>
  <r>
    <x v="37"/>
    <x v="1"/>
    <x v="5"/>
    <n v="33"/>
    <n v="1800"/>
    <n v="59400"/>
    <n v="32076"/>
    <n v="27324"/>
    <s v="架空サンプル"/>
    <x v="12"/>
    <x v="1"/>
    <x v="0"/>
  </r>
  <r>
    <x v="38"/>
    <x v="1"/>
    <x v="5"/>
    <n v="21"/>
    <n v="1800"/>
    <n v="37800"/>
    <n v="20412"/>
    <n v="17388"/>
    <s v="架空サンプル"/>
    <x v="12"/>
    <x v="1"/>
    <x v="0"/>
  </r>
  <r>
    <x v="36"/>
    <x v="1"/>
    <x v="6"/>
    <n v="31"/>
    <n v="3200"/>
    <n v="99200"/>
    <n v="59520"/>
    <n v="39680"/>
    <s v="架空サンプル"/>
    <x v="12"/>
    <x v="1"/>
    <x v="0"/>
  </r>
  <r>
    <x v="37"/>
    <x v="1"/>
    <x v="6"/>
    <n v="36"/>
    <n v="3200"/>
    <n v="115200"/>
    <n v="69120"/>
    <n v="46080"/>
    <s v="架空サンプル"/>
    <x v="12"/>
    <x v="1"/>
    <x v="0"/>
  </r>
  <r>
    <x v="38"/>
    <x v="1"/>
    <x v="6"/>
    <n v="24"/>
    <n v="3200"/>
    <n v="76800"/>
    <n v="46080"/>
    <n v="30720"/>
    <s v="架空サンプル"/>
    <x v="12"/>
    <x v="1"/>
    <x v="0"/>
  </r>
  <r>
    <x v="36"/>
    <x v="1"/>
    <x v="7"/>
    <n v="34"/>
    <n v="4000"/>
    <n v="136000"/>
    <n v="89760"/>
    <n v="46240"/>
    <s v="架空サンプル"/>
    <x v="12"/>
    <x v="1"/>
    <x v="0"/>
  </r>
  <r>
    <x v="37"/>
    <x v="1"/>
    <x v="7"/>
    <n v="22"/>
    <n v="4000"/>
    <n v="88000"/>
    <n v="58080"/>
    <n v="29920"/>
    <s v="架空サンプル"/>
    <x v="12"/>
    <x v="1"/>
    <x v="0"/>
  </r>
  <r>
    <x v="38"/>
    <x v="1"/>
    <x v="7"/>
    <n v="27"/>
    <n v="4000"/>
    <n v="108000"/>
    <n v="71280"/>
    <n v="36720"/>
    <s v="架空サンプル"/>
    <x v="12"/>
    <x v="1"/>
    <x v="0"/>
  </r>
  <r>
    <x v="39"/>
    <x v="0"/>
    <x v="0"/>
    <n v="2"/>
    <n v="50000"/>
    <n v="100000"/>
    <n v="60000"/>
    <n v="40000"/>
    <s v="架空サンプル"/>
    <x v="13"/>
    <x v="1"/>
    <x v="1"/>
  </r>
  <r>
    <x v="40"/>
    <x v="0"/>
    <x v="0"/>
    <n v="7"/>
    <n v="50000"/>
    <n v="350000"/>
    <n v="210000"/>
    <n v="140000"/>
    <s v="架空サンプル"/>
    <x v="13"/>
    <x v="1"/>
    <x v="1"/>
  </r>
  <r>
    <x v="41"/>
    <x v="0"/>
    <x v="0"/>
    <n v="12"/>
    <n v="50000"/>
    <n v="600000"/>
    <n v="360000"/>
    <n v="240000"/>
    <s v="架空サンプル"/>
    <x v="13"/>
    <x v="1"/>
    <x v="1"/>
  </r>
  <r>
    <x v="39"/>
    <x v="0"/>
    <x v="1"/>
    <n v="5"/>
    <n v="15000"/>
    <n v="75000"/>
    <n v="49500"/>
    <n v="25500"/>
    <s v="架空サンプル"/>
    <x v="13"/>
    <x v="1"/>
    <x v="1"/>
  </r>
  <r>
    <x v="40"/>
    <x v="0"/>
    <x v="1"/>
    <n v="10"/>
    <n v="15000"/>
    <n v="150000"/>
    <n v="99000"/>
    <n v="51000"/>
    <s v="架空サンプル"/>
    <x v="13"/>
    <x v="1"/>
    <x v="1"/>
  </r>
  <r>
    <x v="41"/>
    <x v="0"/>
    <x v="1"/>
    <n v="15"/>
    <n v="15000"/>
    <n v="225000"/>
    <n v="148500"/>
    <n v="76500"/>
    <s v="架空サンプル"/>
    <x v="13"/>
    <x v="1"/>
    <x v="1"/>
  </r>
  <r>
    <x v="39"/>
    <x v="0"/>
    <x v="2"/>
    <n v="8"/>
    <n v="35000"/>
    <n v="280000"/>
    <n v="201600"/>
    <n v="78400"/>
    <s v="架空サンプル"/>
    <x v="13"/>
    <x v="1"/>
    <x v="1"/>
  </r>
  <r>
    <x v="40"/>
    <x v="0"/>
    <x v="2"/>
    <n v="13"/>
    <n v="35000"/>
    <n v="455000"/>
    <n v="327600"/>
    <n v="127400"/>
    <s v="架空サンプル"/>
    <x v="13"/>
    <x v="1"/>
    <x v="1"/>
  </r>
  <r>
    <x v="41"/>
    <x v="0"/>
    <x v="2"/>
    <n v="18"/>
    <n v="35000"/>
    <n v="630000"/>
    <n v="453600"/>
    <n v="176400"/>
    <s v="架空サンプル"/>
    <x v="13"/>
    <x v="1"/>
    <x v="1"/>
  </r>
  <r>
    <x v="39"/>
    <x v="0"/>
    <x v="3"/>
    <n v="11"/>
    <n v="2500"/>
    <n v="27500"/>
    <n v="13200"/>
    <n v="14300"/>
    <s v="架空サンプル"/>
    <x v="13"/>
    <x v="1"/>
    <x v="1"/>
  </r>
  <r>
    <x v="40"/>
    <x v="0"/>
    <x v="3"/>
    <n v="16"/>
    <n v="2500"/>
    <n v="40000"/>
    <n v="19200"/>
    <n v="20800"/>
    <s v="架空サンプル"/>
    <x v="13"/>
    <x v="1"/>
    <x v="1"/>
  </r>
  <r>
    <x v="41"/>
    <x v="0"/>
    <x v="3"/>
    <n v="4"/>
    <n v="2500"/>
    <n v="10000"/>
    <n v="4800"/>
    <n v="5200"/>
    <s v="架空サンプル"/>
    <x v="13"/>
    <x v="1"/>
    <x v="1"/>
  </r>
  <r>
    <x v="39"/>
    <x v="1"/>
    <x v="4"/>
    <n v="32"/>
    <n v="2000"/>
    <n v="64000"/>
    <n v="34560"/>
    <n v="29440"/>
    <s v="架空サンプル"/>
    <x v="13"/>
    <x v="1"/>
    <x v="1"/>
  </r>
  <r>
    <x v="40"/>
    <x v="1"/>
    <x v="4"/>
    <n v="20"/>
    <n v="2000"/>
    <n v="40000"/>
    <n v="21600"/>
    <n v="18400"/>
    <s v="架空サンプル"/>
    <x v="13"/>
    <x v="1"/>
    <x v="1"/>
  </r>
  <r>
    <x v="41"/>
    <x v="1"/>
    <x v="4"/>
    <n v="25"/>
    <n v="2000"/>
    <n v="50000"/>
    <n v="27000"/>
    <n v="23000"/>
    <s v="架空サンプル"/>
    <x v="13"/>
    <x v="1"/>
    <x v="1"/>
  </r>
  <r>
    <x v="39"/>
    <x v="1"/>
    <x v="5"/>
    <n v="35"/>
    <n v="1800"/>
    <n v="63000"/>
    <n v="37800"/>
    <n v="25200"/>
    <s v="架空サンプル"/>
    <x v="13"/>
    <x v="1"/>
    <x v="1"/>
  </r>
  <r>
    <x v="40"/>
    <x v="1"/>
    <x v="5"/>
    <n v="23"/>
    <n v="1800"/>
    <n v="41400"/>
    <n v="24840"/>
    <n v="16560"/>
    <s v="架空サンプル"/>
    <x v="13"/>
    <x v="1"/>
    <x v="1"/>
  </r>
  <r>
    <x v="41"/>
    <x v="1"/>
    <x v="5"/>
    <n v="28"/>
    <n v="1800"/>
    <n v="50400"/>
    <n v="30240"/>
    <n v="20160"/>
    <s v="架空サンプル"/>
    <x v="13"/>
    <x v="1"/>
    <x v="1"/>
  </r>
  <r>
    <x v="39"/>
    <x v="1"/>
    <x v="6"/>
    <n v="21"/>
    <n v="3200"/>
    <n v="67200"/>
    <n v="44352"/>
    <n v="22848"/>
    <s v="架空サンプル"/>
    <x v="13"/>
    <x v="1"/>
    <x v="1"/>
  </r>
  <r>
    <x v="40"/>
    <x v="1"/>
    <x v="6"/>
    <n v="26"/>
    <n v="3200"/>
    <n v="83200"/>
    <n v="54912"/>
    <n v="28288"/>
    <s v="架空サンプル"/>
    <x v="13"/>
    <x v="1"/>
    <x v="1"/>
  </r>
  <r>
    <x v="41"/>
    <x v="1"/>
    <x v="6"/>
    <n v="31"/>
    <n v="3200"/>
    <n v="99200"/>
    <n v="65472"/>
    <n v="33728"/>
    <s v="架空サンプル"/>
    <x v="13"/>
    <x v="1"/>
    <x v="1"/>
  </r>
  <r>
    <x v="39"/>
    <x v="1"/>
    <x v="7"/>
    <n v="24"/>
    <n v="4000"/>
    <n v="96000"/>
    <n v="69120"/>
    <n v="26880"/>
    <s v="架空サンプル"/>
    <x v="13"/>
    <x v="1"/>
    <x v="1"/>
  </r>
  <r>
    <x v="40"/>
    <x v="1"/>
    <x v="7"/>
    <n v="29"/>
    <n v="4000"/>
    <n v="116000"/>
    <n v="83520"/>
    <n v="32480"/>
    <s v="架空サンプル"/>
    <x v="13"/>
    <x v="1"/>
    <x v="1"/>
  </r>
  <r>
    <x v="41"/>
    <x v="1"/>
    <x v="7"/>
    <n v="34"/>
    <n v="4000"/>
    <n v="136000"/>
    <n v="97920"/>
    <n v="38080"/>
    <s v="架空サンプル"/>
    <x v="13"/>
    <x v="1"/>
    <x v="1"/>
  </r>
  <r>
    <x v="42"/>
    <x v="0"/>
    <x v="0"/>
    <n v="9"/>
    <n v="50000"/>
    <n v="450000"/>
    <n v="297000"/>
    <n v="153000"/>
    <s v="架空サンプル"/>
    <x v="14"/>
    <x v="1"/>
    <x v="2"/>
  </r>
  <r>
    <x v="43"/>
    <x v="0"/>
    <x v="0"/>
    <n v="14"/>
    <n v="50000"/>
    <n v="700000"/>
    <n v="462000"/>
    <n v="238000"/>
    <s v="架空サンプル"/>
    <x v="14"/>
    <x v="1"/>
    <x v="2"/>
  </r>
  <r>
    <x v="44"/>
    <x v="0"/>
    <x v="0"/>
    <n v="2"/>
    <n v="50000"/>
    <n v="100000"/>
    <n v="66000"/>
    <n v="34000"/>
    <s v="架空サンプル"/>
    <x v="14"/>
    <x v="1"/>
    <x v="2"/>
  </r>
  <r>
    <x v="42"/>
    <x v="0"/>
    <x v="1"/>
    <n v="12"/>
    <n v="15000"/>
    <n v="180000"/>
    <n v="129600"/>
    <n v="50400"/>
    <s v="架空サンプル"/>
    <x v="14"/>
    <x v="1"/>
    <x v="2"/>
  </r>
  <r>
    <x v="43"/>
    <x v="0"/>
    <x v="1"/>
    <n v="17"/>
    <n v="15000"/>
    <n v="255000"/>
    <n v="183600"/>
    <n v="71400"/>
    <s v="架空サンプル"/>
    <x v="14"/>
    <x v="1"/>
    <x v="2"/>
  </r>
  <r>
    <x v="44"/>
    <x v="0"/>
    <x v="1"/>
    <n v="5"/>
    <n v="15000"/>
    <n v="75000"/>
    <n v="54000"/>
    <n v="21000"/>
    <s v="架空サンプル"/>
    <x v="14"/>
    <x v="1"/>
    <x v="2"/>
  </r>
  <r>
    <x v="42"/>
    <x v="0"/>
    <x v="2"/>
    <n v="15"/>
    <n v="35000"/>
    <n v="525000"/>
    <n v="252000"/>
    <n v="273000"/>
    <s v="架空サンプル"/>
    <x v="14"/>
    <x v="1"/>
    <x v="2"/>
  </r>
  <r>
    <x v="43"/>
    <x v="0"/>
    <x v="2"/>
    <n v="3"/>
    <n v="35000"/>
    <n v="105000"/>
    <n v="50400"/>
    <n v="54600"/>
    <s v="架空サンプル"/>
    <x v="14"/>
    <x v="1"/>
    <x v="2"/>
  </r>
  <r>
    <x v="44"/>
    <x v="0"/>
    <x v="2"/>
    <n v="8"/>
    <n v="35000"/>
    <n v="280000"/>
    <n v="134400"/>
    <n v="145600"/>
    <s v="架空サンプル"/>
    <x v="14"/>
    <x v="1"/>
    <x v="2"/>
  </r>
  <r>
    <x v="42"/>
    <x v="0"/>
    <x v="3"/>
    <n v="18"/>
    <n v="2500"/>
    <n v="45000"/>
    <n v="24300"/>
    <n v="20700"/>
    <s v="架空サンプル"/>
    <x v="14"/>
    <x v="1"/>
    <x v="2"/>
  </r>
  <r>
    <x v="43"/>
    <x v="0"/>
    <x v="3"/>
    <n v="6"/>
    <n v="2500"/>
    <n v="15000"/>
    <n v="8100"/>
    <n v="6900"/>
    <s v="架空サンプル"/>
    <x v="14"/>
    <x v="1"/>
    <x v="2"/>
  </r>
  <r>
    <x v="44"/>
    <x v="0"/>
    <x v="3"/>
    <n v="11"/>
    <n v="2500"/>
    <n v="27500"/>
    <n v="14850"/>
    <n v="12650"/>
    <s v="架空サンプル"/>
    <x v="14"/>
    <x v="1"/>
    <x v="2"/>
  </r>
  <r>
    <x v="42"/>
    <x v="1"/>
    <x v="4"/>
    <n v="22"/>
    <n v="2000"/>
    <n v="44000"/>
    <n v="26400"/>
    <n v="17600"/>
    <s v="架空サンプル"/>
    <x v="14"/>
    <x v="1"/>
    <x v="2"/>
  </r>
  <r>
    <x v="43"/>
    <x v="1"/>
    <x v="4"/>
    <n v="27"/>
    <n v="2000"/>
    <n v="54000"/>
    <n v="32400"/>
    <n v="21600"/>
    <s v="架空サンプル"/>
    <x v="14"/>
    <x v="1"/>
    <x v="2"/>
  </r>
  <r>
    <x v="44"/>
    <x v="1"/>
    <x v="4"/>
    <n v="32"/>
    <n v="2000"/>
    <n v="64000"/>
    <n v="38400"/>
    <n v="25600"/>
    <s v="架空サンプル"/>
    <x v="14"/>
    <x v="1"/>
    <x v="2"/>
  </r>
  <r>
    <x v="42"/>
    <x v="1"/>
    <x v="5"/>
    <n v="25"/>
    <n v="1800"/>
    <n v="45000"/>
    <n v="29700"/>
    <n v="15300"/>
    <s v="架空サンプル"/>
    <x v="14"/>
    <x v="1"/>
    <x v="2"/>
  </r>
  <r>
    <x v="43"/>
    <x v="1"/>
    <x v="5"/>
    <n v="30"/>
    <n v="1800"/>
    <n v="54000"/>
    <n v="35640"/>
    <n v="18360"/>
    <s v="架空サンプル"/>
    <x v="14"/>
    <x v="1"/>
    <x v="2"/>
  </r>
  <r>
    <x v="44"/>
    <x v="1"/>
    <x v="5"/>
    <n v="35"/>
    <n v="1800"/>
    <n v="63000"/>
    <n v="41580"/>
    <n v="21420"/>
    <s v="架空サンプル"/>
    <x v="14"/>
    <x v="1"/>
    <x v="2"/>
  </r>
  <r>
    <x v="42"/>
    <x v="1"/>
    <x v="6"/>
    <n v="28"/>
    <n v="3200"/>
    <n v="89600"/>
    <n v="64512"/>
    <n v="25088"/>
    <s v="架空サンプル"/>
    <x v="14"/>
    <x v="1"/>
    <x v="2"/>
  </r>
  <r>
    <x v="43"/>
    <x v="1"/>
    <x v="6"/>
    <n v="33"/>
    <n v="3200"/>
    <n v="105600"/>
    <n v="76032"/>
    <n v="29568"/>
    <s v="架空サンプル"/>
    <x v="14"/>
    <x v="1"/>
    <x v="2"/>
  </r>
  <r>
    <x v="44"/>
    <x v="1"/>
    <x v="6"/>
    <n v="21"/>
    <n v="3200"/>
    <n v="67200"/>
    <n v="48384"/>
    <n v="18816"/>
    <s v="架空サンプル"/>
    <x v="14"/>
    <x v="1"/>
    <x v="2"/>
  </r>
  <r>
    <x v="42"/>
    <x v="1"/>
    <x v="7"/>
    <n v="31"/>
    <n v="4000"/>
    <n v="124000"/>
    <n v="59520"/>
    <n v="64480"/>
    <s v="架空サンプル"/>
    <x v="14"/>
    <x v="1"/>
    <x v="2"/>
  </r>
  <r>
    <x v="43"/>
    <x v="1"/>
    <x v="7"/>
    <n v="36"/>
    <n v="4000"/>
    <n v="144000"/>
    <n v="69120"/>
    <n v="74880"/>
    <s v="架空サンプル"/>
    <x v="14"/>
    <x v="1"/>
    <x v="2"/>
  </r>
  <r>
    <x v="44"/>
    <x v="1"/>
    <x v="7"/>
    <n v="24"/>
    <n v="4000"/>
    <n v="96000"/>
    <n v="46080"/>
    <n v="49920"/>
    <s v="架空サンプル"/>
    <x v="14"/>
    <x v="1"/>
    <x v="2"/>
  </r>
  <r>
    <x v="45"/>
    <x v="0"/>
    <x v="0"/>
    <n v="16"/>
    <n v="50000"/>
    <n v="800000"/>
    <n v="576000"/>
    <n v="224000"/>
    <s v="架空サンプル"/>
    <x v="15"/>
    <x v="1"/>
    <x v="3"/>
  </r>
  <r>
    <x v="46"/>
    <x v="0"/>
    <x v="0"/>
    <n v="4"/>
    <n v="50000"/>
    <n v="200000"/>
    <n v="144000"/>
    <n v="56000"/>
    <s v="架空サンプル"/>
    <x v="15"/>
    <x v="1"/>
    <x v="3"/>
  </r>
  <r>
    <x v="47"/>
    <x v="0"/>
    <x v="0"/>
    <n v="9"/>
    <n v="50000"/>
    <n v="450000"/>
    <n v="324000"/>
    <n v="126000"/>
    <s v="架空サンプル"/>
    <x v="15"/>
    <x v="1"/>
    <x v="3"/>
  </r>
  <r>
    <x v="45"/>
    <x v="0"/>
    <x v="1"/>
    <n v="2"/>
    <n v="15000"/>
    <n v="30000"/>
    <n v="14400"/>
    <n v="15600"/>
    <s v="架空サンプル"/>
    <x v="15"/>
    <x v="1"/>
    <x v="3"/>
  </r>
  <r>
    <x v="46"/>
    <x v="0"/>
    <x v="1"/>
    <n v="7"/>
    <n v="15000"/>
    <n v="105000"/>
    <n v="50400"/>
    <n v="54600"/>
    <s v="架空サンプル"/>
    <x v="15"/>
    <x v="1"/>
    <x v="3"/>
  </r>
  <r>
    <x v="47"/>
    <x v="0"/>
    <x v="1"/>
    <n v="12"/>
    <n v="15000"/>
    <n v="180000"/>
    <n v="86400"/>
    <n v="93600"/>
    <s v="架空サンプル"/>
    <x v="15"/>
    <x v="1"/>
    <x v="3"/>
  </r>
  <r>
    <x v="45"/>
    <x v="0"/>
    <x v="2"/>
    <n v="5"/>
    <n v="35000"/>
    <n v="175000"/>
    <n v="94500"/>
    <n v="80500"/>
    <s v="架空サンプル"/>
    <x v="15"/>
    <x v="1"/>
    <x v="3"/>
  </r>
  <r>
    <x v="46"/>
    <x v="0"/>
    <x v="2"/>
    <n v="10"/>
    <n v="35000"/>
    <n v="350000"/>
    <n v="189000"/>
    <n v="161000"/>
    <s v="架空サンプル"/>
    <x v="15"/>
    <x v="1"/>
    <x v="3"/>
  </r>
  <r>
    <x v="47"/>
    <x v="0"/>
    <x v="2"/>
    <n v="15"/>
    <n v="35000"/>
    <n v="525000"/>
    <n v="283500"/>
    <n v="241500"/>
    <s v="架空サンプル"/>
    <x v="15"/>
    <x v="1"/>
    <x v="3"/>
  </r>
  <r>
    <x v="45"/>
    <x v="0"/>
    <x v="3"/>
    <n v="8"/>
    <n v="2500"/>
    <n v="20000"/>
    <n v="12000"/>
    <n v="8000"/>
    <s v="架空サンプル"/>
    <x v="15"/>
    <x v="1"/>
    <x v="3"/>
  </r>
  <r>
    <x v="46"/>
    <x v="0"/>
    <x v="3"/>
    <n v="13"/>
    <n v="2500"/>
    <n v="32500"/>
    <n v="19500"/>
    <n v="13000"/>
    <s v="架空サンプル"/>
    <x v="15"/>
    <x v="1"/>
    <x v="3"/>
  </r>
  <r>
    <x v="47"/>
    <x v="0"/>
    <x v="3"/>
    <n v="18"/>
    <n v="2500"/>
    <n v="45000"/>
    <n v="27000"/>
    <n v="18000"/>
    <s v="架空サンプル"/>
    <x v="15"/>
    <x v="1"/>
    <x v="3"/>
  </r>
  <r>
    <x v="45"/>
    <x v="1"/>
    <x v="4"/>
    <n v="29"/>
    <n v="2000"/>
    <n v="58000"/>
    <n v="38280"/>
    <n v="19720"/>
    <s v="架空サンプル"/>
    <x v="15"/>
    <x v="1"/>
    <x v="3"/>
  </r>
  <r>
    <x v="46"/>
    <x v="1"/>
    <x v="4"/>
    <n v="34"/>
    <n v="2000"/>
    <n v="68000"/>
    <n v="44880"/>
    <n v="23120"/>
    <s v="架空サンプル"/>
    <x v="15"/>
    <x v="1"/>
    <x v="3"/>
  </r>
  <r>
    <x v="47"/>
    <x v="1"/>
    <x v="4"/>
    <n v="22"/>
    <n v="2000"/>
    <n v="44000"/>
    <n v="29040"/>
    <n v="14960"/>
    <s v="架空サンプル"/>
    <x v="15"/>
    <x v="1"/>
    <x v="3"/>
  </r>
  <r>
    <x v="45"/>
    <x v="1"/>
    <x v="5"/>
    <n v="32"/>
    <n v="1800"/>
    <n v="57600"/>
    <n v="41472"/>
    <n v="16128"/>
    <s v="架空サンプル"/>
    <x v="15"/>
    <x v="1"/>
    <x v="3"/>
  </r>
  <r>
    <x v="46"/>
    <x v="1"/>
    <x v="5"/>
    <n v="20"/>
    <n v="1800"/>
    <n v="36000"/>
    <n v="25920"/>
    <n v="10080"/>
    <s v="架空サンプル"/>
    <x v="15"/>
    <x v="1"/>
    <x v="3"/>
  </r>
  <r>
    <x v="47"/>
    <x v="1"/>
    <x v="5"/>
    <n v="25"/>
    <n v="1800"/>
    <n v="45000"/>
    <n v="32400"/>
    <n v="12600"/>
    <s v="架空サンプル"/>
    <x v="15"/>
    <x v="1"/>
    <x v="3"/>
  </r>
  <r>
    <x v="45"/>
    <x v="1"/>
    <x v="6"/>
    <n v="35"/>
    <n v="3200"/>
    <n v="112000"/>
    <n v="53760"/>
    <n v="58240"/>
    <s v="架空サンプル"/>
    <x v="15"/>
    <x v="1"/>
    <x v="3"/>
  </r>
  <r>
    <x v="46"/>
    <x v="1"/>
    <x v="6"/>
    <n v="23"/>
    <n v="3200"/>
    <n v="73600"/>
    <n v="35328"/>
    <n v="38272"/>
    <s v="架空サンプル"/>
    <x v="15"/>
    <x v="1"/>
    <x v="3"/>
  </r>
  <r>
    <x v="47"/>
    <x v="1"/>
    <x v="6"/>
    <n v="28"/>
    <n v="3200"/>
    <n v="89600"/>
    <n v="43008"/>
    <n v="46592"/>
    <s v="架空サンプル"/>
    <x v="15"/>
    <x v="1"/>
    <x v="3"/>
  </r>
  <r>
    <x v="45"/>
    <x v="1"/>
    <x v="7"/>
    <n v="21"/>
    <n v="4000"/>
    <n v="84000"/>
    <n v="45360"/>
    <n v="38640"/>
    <s v="架空サンプル"/>
    <x v="15"/>
    <x v="1"/>
    <x v="3"/>
  </r>
  <r>
    <x v="46"/>
    <x v="1"/>
    <x v="7"/>
    <n v="26"/>
    <n v="4000"/>
    <n v="104000"/>
    <n v="56160"/>
    <n v="47840"/>
    <s v="架空サンプル"/>
    <x v="15"/>
    <x v="1"/>
    <x v="3"/>
  </r>
  <r>
    <x v="47"/>
    <x v="1"/>
    <x v="7"/>
    <n v="31"/>
    <n v="4000"/>
    <n v="124000"/>
    <n v="66960"/>
    <n v="57040"/>
    <s v="架空サンプル"/>
    <x v="15"/>
    <x v="1"/>
    <x v="3"/>
  </r>
  <r>
    <x v="48"/>
    <x v="0"/>
    <x v="0"/>
    <n v="6"/>
    <n v="50000"/>
    <n v="300000"/>
    <n v="144000"/>
    <n v="156000"/>
    <s v="架空サンプル"/>
    <x v="16"/>
    <x v="1"/>
    <x v="4"/>
  </r>
  <r>
    <x v="49"/>
    <x v="0"/>
    <x v="0"/>
    <n v="11"/>
    <n v="50000"/>
    <n v="550000"/>
    <n v="264000"/>
    <n v="286000"/>
    <s v="架空サンプル"/>
    <x v="16"/>
    <x v="1"/>
    <x v="4"/>
  </r>
  <r>
    <x v="50"/>
    <x v="0"/>
    <x v="0"/>
    <n v="16"/>
    <n v="50000"/>
    <n v="800000"/>
    <n v="384000"/>
    <n v="416000"/>
    <s v="架空サンプル"/>
    <x v="16"/>
    <x v="1"/>
    <x v="4"/>
  </r>
  <r>
    <x v="48"/>
    <x v="0"/>
    <x v="1"/>
    <n v="9"/>
    <n v="15000"/>
    <n v="135000"/>
    <n v="72900"/>
    <n v="62100"/>
    <s v="架空サンプル"/>
    <x v="16"/>
    <x v="1"/>
    <x v="4"/>
  </r>
  <r>
    <x v="49"/>
    <x v="0"/>
    <x v="1"/>
    <n v="14"/>
    <n v="15000"/>
    <n v="210000"/>
    <n v="113400"/>
    <n v="96600"/>
    <s v="架空サンプル"/>
    <x v="16"/>
    <x v="1"/>
    <x v="4"/>
  </r>
  <r>
    <x v="50"/>
    <x v="0"/>
    <x v="1"/>
    <n v="2"/>
    <n v="15000"/>
    <n v="30000"/>
    <n v="16200"/>
    <n v="13800"/>
    <s v="架空サンプル"/>
    <x v="16"/>
    <x v="1"/>
    <x v="4"/>
  </r>
  <r>
    <x v="48"/>
    <x v="0"/>
    <x v="2"/>
    <n v="12"/>
    <n v="35000"/>
    <n v="420000"/>
    <n v="252000"/>
    <n v="168000"/>
    <s v="架空サンプル"/>
    <x v="16"/>
    <x v="1"/>
    <x v="4"/>
  </r>
  <r>
    <x v="49"/>
    <x v="0"/>
    <x v="2"/>
    <n v="17"/>
    <n v="35000"/>
    <n v="595000"/>
    <n v="357000"/>
    <n v="238000"/>
    <s v="架空サンプル"/>
    <x v="16"/>
    <x v="1"/>
    <x v="4"/>
  </r>
  <r>
    <x v="50"/>
    <x v="0"/>
    <x v="2"/>
    <n v="5"/>
    <n v="35000"/>
    <n v="175000"/>
    <n v="105000"/>
    <n v="70000"/>
    <s v="架空サンプル"/>
    <x v="16"/>
    <x v="1"/>
    <x v="4"/>
  </r>
  <r>
    <x v="48"/>
    <x v="0"/>
    <x v="3"/>
    <n v="15"/>
    <n v="2500"/>
    <n v="37500"/>
    <n v="24750"/>
    <n v="12750"/>
    <s v="架空サンプル"/>
    <x v="16"/>
    <x v="1"/>
    <x v="4"/>
  </r>
  <r>
    <x v="49"/>
    <x v="0"/>
    <x v="3"/>
    <n v="3"/>
    <n v="2500"/>
    <n v="7500"/>
    <n v="4950"/>
    <n v="2550"/>
    <s v="架空サンプル"/>
    <x v="16"/>
    <x v="1"/>
    <x v="4"/>
  </r>
  <r>
    <x v="50"/>
    <x v="0"/>
    <x v="3"/>
    <n v="8"/>
    <n v="2500"/>
    <n v="20000"/>
    <n v="13200"/>
    <n v="6800"/>
    <s v="架空サンプル"/>
    <x v="16"/>
    <x v="1"/>
    <x v="4"/>
  </r>
  <r>
    <x v="48"/>
    <x v="1"/>
    <x v="4"/>
    <n v="36"/>
    <n v="2000"/>
    <n v="72000"/>
    <n v="51840"/>
    <n v="20160"/>
    <s v="架空サンプル"/>
    <x v="16"/>
    <x v="1"/>
    <x v="4"/>
  </r>
  <r>
    <x v="49"/>
    <x v="1"/>
    <x v="4"/>
    <n v="24"/>
    <n v="2000"/>
    <n v="48000"/>
    <n v="34560"/>
    <n v="13440"/>
    <s v="架空サンプル"/>
    <x v="16"/>
    <x v="1"/>
    <x v="4"/>
  </r>
  <r>
    <x v="50"/>
    <x v="1"/>
    <x v="4"/>
    <n v="29"/>
    <n v="2000"/>
    <n v="58000"/>
    <n v="41760"/>
    <n v="16240"/>
    <s v="架空サンプル"/>
    <x v="16"/>
    <x v="1"/>
    <x v="4"/>
  </r>
  <r>
    <x v="48"/>
    <x v="1"/>
    <x v="5"/>
    <n v="22"/>
    <n v="1800"/>
    <n v="39600"/>
    <n v="19008"/>
    <n v="20592"/>
    <s v="架空サンプル"/>
    <x v="16"/>
    <x v="1"/>
    <x v="4"/>
  </r>
  <r>
    <x v="49"/>
    <x v="1"/>
    <x v="5"/>
    <n v="27"/>
    <n v="1800"/>
    <n v="48600"/>
    <n v="23328"/>
    <n v="25272"/>
    <s v="架空サンプル"/>
    <x v="16"/>
    <x v="1"/>
    <x v="4"/>
  </r>
  <r>
    <x v="50"/>
    <x v="1"/>
    <x v="5"/>
    <n v="32"/>
    <n v="1800"/>
    <n v="57600"/>
    <n v="27648"/>
    <n v="29952"/>
    <s v="架空サンプル"/>
    <x v="16"/>
    <x v="1"/>
    <x v="4"/>
  </r>
  <r>
    <x v="48"/>
    <x v="1"/>
    <x v="6"/>
    <n v="25"/>
    <n v="3200"/>
    <n v="80000"/>
    <n v="43200"/>
    <n v="36800"/>
    <s v="架空サンプル"/>
    <x v="16"/>
    <x v="1"/>
    <x v="4"/>
  </r>
  <r>
    <x v="49"/>
    <x v="1"/>
    <x v="6"/>
    <n v="30"/>
    <n v="3200"/>
    <n v="96000"/>
    <n v="51840"/>
    <n v="44160"/>
    <s v="架空サンプル"/>
    <x v="16"/>
    <x v="1"/>
    <x v="4"/>
  </r>
  <r>
    <x v="50"/>
    <x v="1"/>
    <x v="6"/>
    <n v="35"/>
    <n v="3200"/>
    <n v="112000"/>
    <n v="60480"/>
    <n v="51520"/>
    <s v="架空サンプル"/>
    <x v="16"/>
    <x v="1"/>
    <x v="4"/>
  </r>
  <r>
    <x v="48"/>
    <x v="1"/>
    <x v="7"/>
    <n v="28"/>
    <n v="4000"/>
    <n v="112000"/>
    <n v="67200"/>
    <n v="44800"/>
    <s v="架空サンプル"/>
    <x v="16"/>
    <x v="1"/>
    <x v="4"/>
  </r>
  <r>
    <x v="49"/>
    <x v="1"/>
    <x v="7"/>
    <n v="33"/>
    <n v="4000"/>
    <n v="132000"/>
    <n v="79200"/>
    <n v="52800"/>
    <s v="架空サンプル"/>
    <x v="16"/>
    <x v="1"/>
    <x v="4"/>
  </r>
  <r>
    <x v="50"/>
    <x v="1"/>
    <x v="7"/>
    <n v="21"/>
    <n v="4000"/>
    <n v="84000"/>
    <n v="50400"/>
    <n v="33600"/>
    <s v="架空サンプル"/>
    <x v="16"/>
    <x v="1"/>
    <x v="4"/>
  </r>
  <r>
    <x v="51"/>
    <x v="0"/>
    <x v="0"/>
    <n v="13"/>
    <n v="50000"/>
    <n v="650000"/>
    <n v="351000"/>
    <n v="299000"/>
    <s v="架空サンプル"/>
    <x v="17"/>
    <x v="1"/>
    <x v="5"/>
  </r>
  <r>
    <x v="52"/>
    <x v="0"/>
    <x v="0"/>
    <n v="18"/>
    <n v="50000"/>
    <n v="900000"/>
    <n v="486000"/>
    <n v="414000"/>
    <s v="架空サンプル"/>
    <x v="17"/>
    <x v="1"/>
    <x v="5"/>
  </r>
  <r>
    <x v="53"/>
    <x v="0"/>
    <x v="0"/>
    <n v="6"/>
    <n v="50000"/>
    <n v="300000"/>
    <n v="162000"/>
    <n v="138000"/>
    <s v="架空サンプル"/>
    <x v="17"/>
    <x v="1"/>
    <x v="5"/>
  </r>
  <r>
    <x v="51"/>
    <x v="0"/>
    <x v="1"/>
    <n v="16"/>
    <n v="15000"/>
    <n v="240000"/>
    <n v="144000"/>
    <n v="96000"/>
    <s v="架空サンプル"/>
    <x v="17"/>
    <x v="1"/>
    <x v="5"/>
  </r>
  <r>
    <x v="52"/>
    <x v="0"/>
    <x v="1"/>
    <n v="4"/>
    <n v="15000"/>
    <n v="60000"/>
    <n v="36000"/>
    <n v="24000"/>
    <s v="架空サンプル"/>
    <x v="17"/>
    <x v="1"/>
    <x v="5"/>
  </r>
  <r>
    <x v="53"/>
    <x v="0"/>
    <x v="1"/>
    <n v="9"/>
    <n v="15000"/>
    <n v="135000"/>
    <n v="81000"/>
    <n v="54000"/>
    <s v="架空サンプル"/>
    <x v="17"/>
    <x v="1"/>
    <x v="5"/>
  </r>
  <r>
    <x v="51"/>
    <x v="0"/>
    <x v="2"/>
    <n v="2"/>
    <n v="35000"/>
    <n v="70000"/>
    <n v="46200"/>
    <n v="23800"/>
    <s v="架空サンプル"/>
    <x v="17"/>
    <x v="1"/>
    <x v="5"/>
  </r>
  <r>
    <x v="52"/>
    <x v="0"/>
    <x v="2"/>
    <n v="7"/>
    <n v="35000"/>
    <n v="245000"/>
    <n v="161700"/>
    <n v="83300"/>
    <s v="架空サンプル"/>
    <x v="17"/>
    <x v="1"/>
    <x v="5"/>
  </r>
  <r>
    <x v="53"/>
    <x v="0"/>
    <x v="2"/>
    <n v="12"/>
    <n v="35000"/>
    <n v="420000"/>
    <n v="277200"/>
    <n v="142800"/>
    <s v="架空サンプル"/>
    <x v="17"/>
    <x v="1"/>
    <x v="5"/>
  </r>
  <r>
    <x v="51"/>
    <x v="0"/>
    <x v="3"/>
    <n v="5"/>
    <n v="2500"/>
    <n v="12500"/>
    <n v="9000"/>
    <n v="3500"/>
    <s v="架空サンプル"/>
    <x v="17"/>
    <x v="1"/>
    <x v="5"/>
  </r>
  <r>
    <x v="52"/>
    <x v="0"/>
    <x v="3"/>
    <n v="10"/>
    <n v="2500"/>
    <n v="25000"/>
    <n v="18000"/>
    <n v="7000"/>
    <s v="架空サンプル"/>
    <x v="17"/>
    <x v="1"/>
    <x v="5"/>
  </r>
  <r>
    <x v="53"/>
    <x v="0"/>
    <x v="3"/>
    <n v="15"/>
    <n v="2500"/>
    <n v="37500"/>
    <n v="27000"/>
    <n v="10500"/>
    <s v="架空サンプル"/>
    <x v="17"/>
    <x v="1"/>
    <x v="5"/>
  </r>
  <r>
    <x v="51"/>
    <x v="1"/>
    <x v="4"/>
    <n v="26"/>
    <n v="2000"/>
    <n v="52000"/>
    <n v="24960"/>
    <n v="27040"/>
    <s v="架空サンプル"/>
    <x v="17"/>
    <x v="1"/>
    <x v="5"/>
  </r>
  <r>
    <x v="52"/>
    <x v="1"/>
    <x v="4"/>
    <n v="31"/>
    <n v="2000"/>
    <n v="62000"/>
    <n v="29760"/>
    <n v="32240"/>
    <s v="架空サンプル"/>
    <x v="17"/>
    <x v="1"/>
    <x v="5"/>
  </r>
  <r>
    <x v="53"/>
    <x v="1"/>
    <x v="4"/>
    <n v="36"/>
    <n v="2000"/>
    <n v="72000"/>
    <n v="34560"/>
    <n v="37440"/>
    <s v="架空サンプル"/>
    <x v="17"/>
    <x v="1"/>
    <x v="5"/>
  </r>
  <r>
    <x v="51"/>
    <x v="1"/>
    <x v="5"/>
    <n v="29"/>
    <n v="1800"/>
    <n v="52200"/>
    <n v="28188"/>
    <n v="24012"/>
    <s v="架空サンプル"/>
    <x v="17"/>
    <x v="1"/>
    <x v="5"/>
  </r>
  <r>
    <x v="52"/>
    <x v="1"/>
    <x v="5"/>
    <n v="34"/>
    <n v="1800"/>
    <n v="61200"/>
    <n v="33048"/>
    <n v="28152"/>
    <s v="架空サンプル"/>
    <x v="17"/>
    <x v="1"/>
    <x v="5"/>
  </r>
  <r>
    <x v="53"/>
    <x v="1"/>
    <x v="5"/>
    <n v="22"/>
    <n v="1800"/>
    <n v="39600"/>
    <n v="21384"/>
    <n v="18216"/>
    <s v="架空サンプル"/>
    <x v="17"/>
    <x v="1"/>
    <x v="5"/>
  </r>
  <r>
    <x v="51"/>
    <x v="1"/>
    <x v="6"/>
    <n v="32"/>
    <n v="3200"/>
    <n v="102400"/>
    <n v="61440"/>
    <n v="40960"/>
    <s v="架空サンプル"/>
    <x v="17"/>
    <x v="1"/>
    <x v="5"/>
  </r>
  <r>
    <x v="52"/>
    <x v="1"/>
    <x v="6"/>
    <n v="20"/>
    <n v="3200"/>
    <n v="64000"/>
    <n v="38400"/>
    <n v="25600"/>
    <s v="架空サンプル"/>
    <x v="17"/>
    <x v="1"/>
    <x v="5"/>
  </r>
  <r>
    <x v="53"/>
    <x v="1"/>
    <x v="6"/>
    <n v="25"/>
    <n v="3200"/>
    <n v="80000"/>
    <n v="48000"/>
    <n v="32000"/>
    <s v="架空サンプル"/>
    <x v="17"/>
    <x v="1"/>
    <x v="5"/>
  </r>
  <r>
    <x v="51"/>
    <x v="1"/>
    <x v="7"/>
    <n v="35"/>
    <n v="4000"/>
    <n v="140000"/>
    <n v="92400"/>
    <n v="47600"/>
    <s v="架空サンプル"/>
    <x v="17"/>
    <x v="1"/>
    <x v="5"/>
  </r>
  <r>
    <x v="52"/>
    <x v="1"/>
    <x v="7"/>
    <n v="23"/>
    <n v="4000"/>
    <n v="92000"/>
    <n v="60720"/>
    <n v="31280"/>
    <s v="架空サンプル"/>
    <x v="17"/>
    <x v="1"/>
    <x v="5"/>
  </r>
  <r>
    <x v="53"/>
    <x v="1"/>
    <x v="7"/>
    <n v="28"/>
    <n v="4000"/>
    <n v="112000"/>
    <n v="73920"/>
    <n v="38080"/>
    <s v="架空サンプル"/>
    <x v="17"/>
    <x v="1"/>
    <x v="5"/>
  </r>
  <r>
    <x v="54"/>
    <x v="0"/>
    <x v="0"/>
    <n v="3"/>
    <n v="50000"/>
    <n v="150000"/>
    <n v="90000"/>
    <n v="60000"/>
    <s v="架空サンプル"/>
    <x v="18"/>
    <x v="1"/>
    <x v="6"/>
  </r>
  <r>
    <x v="55"/>
    <x v="0"/>
    <x v="0"/>
    <n v="8"/>
    <n v="50000"/>
    <n v="400000"/>
    <n v="240000"/>
    <n v="160000"/>
    <s v="架空サンプル"/>
    <x v="18"/>
    <x v="1"/>
    <x v="6"/>
  </r>
  <r>
    <x v="56"/>
    <x v="0"/>
    <x v="0"/>
    <n v="13"/>
    <n v="50000"/>
    <n v="650000"/>
    <n v="390000"/>
    <n v="260000"/>
    <s v="架空サンプル"/>
    <x v="18"/>
    <x v="1"/>
    <x v="6"/>
  </r>
  <r>
    <x v="54"/>
    <x v="0"/>
    <x v="1"/>
    <n v="6"/>
    <n v="15000"/>
    <n v="90000"/>
    <n v="59400"/>
    <n v="30600"/>
    <s v="架空サンプル"/>
    <x v="18"/>
    <x v="1"/>
    <x v="6"/>
  </r>
  <r>
    <x v="55"/>
    <x v="0"/>
    <x v="1"/>
    <n v="11"/>
    <n v="15000"/>
    <n v="165000"/>
    <n v="108900"/>
    <n v="56100"/>
    <s v="架空サンプル"/>
    <x v="18"/>
    <x v="1"/>
    <x v="6"/>
  </r>
  <r>
    <x v="56"/>
    <x v="0"/>
    <x v="1"/>
    <n v="16"/>
    <n v="15000"/>
    <n v="240000"/>
    <n v="158400"/>
    <n v="81600"/>
    <s v="架空サンプル"/>
    <x v="18"/>
    <x v="1"/>
    <x v="6"/>
  </r>
  <r>
    <x v="54"/>
    <x v="0"/>
    <x v="2"/>
    <n v="9"/>
    <n v="35000"/>
    <n v="315000"/>
    <n v="226800"/>
    <n v="88200"/>
    <s v="架空サンプル"/>
    <x v="18"/>
    <x v="1"/>
    <x v="6"/>
  </r>
  <r>
    <x v="55"/>
    <x v="0"/>
    <x v="2"/>
    <n v="14"/>
    <n v="35000"/>
    <n v="490000"/>
    <n v="352800"/>
    <n v="137200"/>
    <s v="架空サンプル"/>
    <x v="18"/>
    <x v="1"/>
    <x v="6"/>
  </r>
  <r>
    <x v="56"/>
    <x v="0"/>
    <x v="2"/>
    <n v="2"/>
    <n v="35000"/>
    <n v="70000"/>
    <n v="50400"/>
    <n v="19600"/>
    <s v="架空サンプル"/>
    <x v="18"/>
    <x v="1"/>
    <x v="6"/>
  </r>
  <r>
    <x v="54"/>
    <x v="0"/>
    <x v="3"/>
    <n v="12"/>
    <n v="2500"/>
    <n v="30000"/>
    <n v="14400"/>
    <n v="15600"/>
    <s v="架空サンプル"/>
    <x v="18"/>
    <x v="1"/>
    <x v="6"/>
  </r>
  <r>
    <x v="55"/>
    <x v="0"/>
    <x v="3"/>
    <n v="17"/>
    <n v="2500"/>
    <n v="42500"/>
    <n v="20400"/>
    <n v="22100"/>
    <s v="架空サンプル"/>
    <x v="18"/>
    <x v="1"/>
    <x v="6"/>
  </r>
  <r>
    <x v="56"/>
    <x v="0"/>
    <x v="3"/>
    <n v="5"/>
    <n v="2500"/>
    <n v="12500"/>
    <n v="6000"/>
    <n v="6500"/>
    <s v="架空サンプル"/>
    <x v="18"/>
    <x v="1"/>
    <x v="6"/>
  </r>
  <r>
    <x v="54"/>
    <x v="1"/>
    <x v="4"/>
    <n v="33"/>
    <n v="2000"/>
    <n v="66000"/>
    <n v="35640"/>
    <n v="30360"/>
    <s v="架空サンプル"/>
    <x v="18"/>
    <x v="1"/>
    <x v="6"/>
  </r>
  <r>
    <x v="55"/>
    <x v="1"/>
    <x v="4"/>
    <n v="21"/>
    <n v="2000"/>
    <n v="42000"/>
    <n v="22680"/>
    <n v="19320"/>
    <s v="架空サンプル"/>
    <x v="18"/>
    <x v="1"/>
    <x v="6"/>
  </r>
  <r>
    <x v="56"/>
    <x v="1"/>
    <x v="4"/>
    <n v="26"/>
    <n v="2000"/>
    <n v="52000"/>
    <n v="28080"/>
    <n v="23920"/>
    <s v="架空サンプル"/>
    <x v="18"/>
    <x v="1"/>
    <x v="6"/>
  </r>
  <r>
    <x v="54"/>
    <x v="1"/>
    <x v="5"/>
    <n v="36"/>
    <n v="1800"/>
    <n v="64800"/>
    <n v="38880"/>
    <n v="25920"/>
    <s v="架空サンプル"/>
    <x v="18"/>
    <x v="1"/>
    <x v="6"/>
  </r>
  <r>
    <x v="55"/>
    <x v="1"/>
    <x v="5"/>
    <n v="24"/>
    <n v="1800"/>
    <n v="43200"/>
    <n v="25920"/>
    <n v="17280"/>
    <s v="架空サンプル"/>
    <x v="18"/>
    <x v="1"/>
    <x v="6"/>
  </r>
  <r>
    <x v="56"/>
    <x v="1"/>
    <x v="5"/>
    <n v="29"/>
    <n v="1800"/>
    <n v="52200"/>
    <n v="31320"/>
    <n v="20880"/>
    <s v="架空サンプル"/>
    <x v="18"/>
    <x v="1"/>
    <x v="6"/>
  </r>
  <r>
    <x v="54"/>
    <x v="1"/>
    <x v="6"/>
    <n v="22"/>
    <n v="3200"/>
    <n v="70400"/>
    <n v="46464"/>
    <n v="23936"/>
    <s v="架空サンプル"/>
    <x v="18"/>
    <x v="1"/>
    <x v="6"/>
  </r>
  <r>
    <x v="55"/>
    <x v="1"/>
    <x v="6"/>
    <n v="27"/>
    <n v="3200"/>
    <n v="86400"/>
    <n v="57024"/>
    <n v="29376"/>
    <s v="架空サンプル"/>
    <x v="18"/>
    <x v="1"/>
    <x v="6"/>
  </r>
  <r>
    <x v="56"/>
    <x v="1"/>
    <x v="6"/>
    <n v="32"/>
    <n v="3200"/>
    <n v="102400"/>
    <n v="67584"/>
    <n v="34816"/>
    <s v="架空サンプル"/>
    <x v="18"/>
    <x v="1"/>
    <x v="6"/>
  </r>
  <r>
    <x v="54"/>
    <x v="1"/>
    <x v="7"/>
    <n v="25"/>
    <n v="4000"/>
    <n v="100000"/>
    <n v="72000"/>
    <n v="28000"/>
    <s v="架空サンプル"/>
    <x v="18"/>
    <x v="1"/>
    <x v="6"/>
  </r>
  <r>
    <x v="55"/>
    <x v="1"/>
    <x v="7"/>
    <n v="30"/>
    <n v="4000"/>
    <n v="120000"/>
    <n v="86400"/>
    <n v="33600"/>
    <s v="架空サンプル"/>
    <x v="18"/>
    <x v="1"/>
    <x v="6"/>
  </r>
  <r>
    <x v="56"/>
    <x v="1"/>
    <x v="7"/>
    <n v="35"/>
    <n v="4000"/>
    <n v="140000"/>
    <n v="100800"/>
    <n v="39200"/>
    <s v="架空サンプル"/>
    <x v="18"/>
    <x v="1"/>
    <x v="6"/>
  </r>
  <r>
    <x v="57"/>
    <x v="0"/>
    <x v="0"/>
    <n v="10"/>
    <n v="50000"/>
    <n v="500000"/>
    <n v="330000"/>
    <n v="170000"/>
    <s v="架空サンプル"/>
    <x v="19"/>
    <x v="1"/>
    <x v="7"/>
  </r>
  <r>
    <x v="58"/>
    <x v="0"/>
    <x v="0"/>
    <n v="15"/>
    <n v="50000"/>
    <n v="750000"/>
    <n v="495000"/>
    <n v="255000"/>
    <s v="架空サンプル"/>
    <x v="19"/>
    <x v="1"/>
    <x v="7"/>
  </r>
  <r>
    <x v="59"/>
    <x v="0"/>
    <x v="0"/>
    <n v="3"/>
    <n v="50000"/>
    <n v="150000"/>
    <n v="99000"/>
    <n v="51000"/>
    <s v="架空サンプル"/>
    <x v="19"/>
    <x v="1"/>
    <x v="7"/>
  </r>
  <r>
    <x v="57"/>
    <x v="0"/>
    <x v="1"/>
    <n v="13"/>
    <n v="15000"/>
    <n v="195000"/>
    <n v="140400"/>
    <n v="54600"/>
    <s v="架空サンプル"/>
    <x v="19"/>
    <x v="1"/>
    <x v="7"/>
  </r>
  <r>
    <x v="58"/>
    <x v="0"/>
    <x v="1"/>
    <n v="18"/>
    <n v="15000"/>
    <n v="270000"/>
    <n v="194400"/>
    <n v="75600"/>
    <s v="架空サンプル"/>
    <x v="19"/>
    <x v="1"/>
    <x v="7"/>
  </r>
  <r>
    <x v="59"/>
    <x v="0"/>
    <x v="1"/>
    <n v="6"/>
    <n v="15000"/>
    <n v="90000"/>
    <n v="64800"/>
    <n v="25200"/>
    <s v="架空サンプル"/>
    <x v="19"/>
    <x v="1"/>
    <x v="7"/>
  </r>
  <r>
    <x v="57"/>
    <x v="0"/>
    <x v="2"/>
    <n v="16"/>
    <n v="35000"/>
    <n v="560000"/>
    <n v="268800"/>
    <n v="291200"/>
    <s v="架空サンプル"/>
    <x v="19"/>
    <x v="1"/>
    <x v="7"/>
  </r>
  <r>
    <x v="58"/>
    <x v="0"/>
    <x v="2"/>
    <n v="4"/>
    <n v="35000"/>
    <n v="140000"/>
    <n v="67200"/>
    <n v="72800"/>
    <s v="架空サンプル"/>
    <x v="19"/>
    <x v="1"/>
    <x v="7"/>
  </r>
  <r>
    <x v="59"/>
    <x v="0"/>
    <x v="2"/>
    <n v="9"/>
    <n v="35000"/>
    <n v="315000"/>
    <n v="151200"/>
    <n v="163800"/>
    <s v="架空サンプル"/>
    <x v="19"/>
    <x v="1"/>
    <x v="7"/>
  </r>
  <r>
    <x v="57"/>
    <x v="0"/>
    <x v="3"/>
    <n v="2"/>
    <n v="2500"/>
    <n v="5000"/>
    <n v="2700"/>
    <n v="2300"/>
    <s v="架空サンプル"/>
    <x v="19"/>
    <x v="1"/>
    <x v="7"/>
  </r>
  <r>
    <x v="58"/>
    <x v="0"/>
    <x v="3"/>
    <n v="7"/>
    <n v="2500"/>
    <n v="17500"/>
    <n v="9450"/>
    <n v="8050"/>
    <s v="架空サンプル"/>
    <x v="19"/>
    <x v="1"/>
    <x v="7"/>
  </r>
  <r>
    <x v="59"/>
    <x v="0"/>
    <x v="3"/>
    <n v="12"/>
    <n v="2500"/>
    <n v="30000"/>
    <n v="16200"/>
    <n v="13800"/>
    <s v="架空サンプル"/>
    <x v="19"/>
    <x v="1"/>
    <x v="7"/>
  </r>
  <r>
    <x v="57"/>
    <x v="1"/>
    <x v="4"/>
    <n v="23"/>
    <n v="2000"/>
    <n v="46000"/>
    <n v="27600"/>
    <n v="18400"/>
    <s v="架空サンプル"/>
    <x v="19"/>
    <x v="1"/>
    <x v="7"/>
  </r>
  <r>
    <x v="58"/>
    <x v="1"/>
    <x v="4"/>
    <n v="28"/>
    <n v="2000"/>
    <n v="56000"/>
    <n v="33600"/>
    <n v="22400"/>
    <s v="架空サンプル"/>
    <x v="19"/>
    <x v="1"/>
    <x v="7"/>
  </r>
  <r>
    <x v="59"/>
    <x v="1"/>
    <x v="4"/>
    <n v="33"/>
    <n v="2000"/>
    <n v="66000"/>
    <n v="39600"/>
    <n v="26400"/>
    <s v="架空サンプル"/>
    <x v="19"/>
    <x v="1"/>
    <x v="7"/>
  </r>
  <r>
    <x v="57"/>
    <x v="1"/>
    <x v="5"/>
    <n v="26"/>
    <n v="1800"/>
    <n v="46800"/>
    <n v="30888"/>
    <n v="15912"/>
    <s v="架空サンプル"/>
    <x v="19"/>
    <x v="1"/>
    <x v="7"/>
  </r>
  <r>
    <x v="58"/>
    <x v="1"/>
    <x v="5"/>
    <n v="31"/>
    <n v="1800"/>
    <n v="55800"/>
    <n v="36828"/>
    <n v="18972"/>
    <s v="架空サンプル"/>
    <x v="19"/>
    <x v="1"/>
    <x v="7"/>
  </r>
  <r>
    <x v="59"/>
    <x v="1"/>
    <x v="5"/>
    <n v="36"/>
    <n v="1800"/>
    <n v="64800"/>
    <n v="42768"/>
    <n v="22032"/>
    <s v="架空サンプル"/>
    <x v="19"/>
    <x v="1"/>
    <x v="7"/>
  </r>
  <r>
    <x v="57"/>
    <x v="1"/>
    <x v="6"/>
    <n v="29"/>
    <n v="3200"/>
    <n v="92800"/>
    <n v="66816"/>
    <n v="25984"/>
    <s v="架空サンプル"/>
    <x v="19"/>
    <x v="1"/>
    <x v="7"/>
  </r>
  <r>
    <x v="58"/>
    <x v="1"/>
    <x v="6"/>
    <n v="34"/>
    <n v="3200"/>
    <n v="108800"/>
    <n v="78336"/>
    <n v="30464"/>
    <s v="架空サンプル"/>
    <x v="19"/>
    <x v="1"/>
    <x v="7"/>
  </r>
  <r>
    <x v="59"/>
    <x v="1"/>
    <x v="6"/>
    <n v="22"/>
    <n v="3200"/>
    <n v="70400"/>
    <n v="50688"/>
    <n v="19712"/>
    <s v="架空サンプル"/>
    <x v="19"/>
    <x v="1"/>
    <x v="7"/>
  </r>
  <r>
    <x v="57"/>
    <x v="1"/>
    <x v="7"/>
    <n v="32"/>
    <n v="4000"/>
    <n v="128000"/>
    <n v="61440"/>
    <n v="66560"/>
    <s v="架空サンプル"/>
    <x v="19"/>
    <x v="1"/>
    <x v="7"/>
  </r>
  <r>
    <x v="58"/>
    <x v="1"/>
    <x v="7"/>
    <n v="20"/>
    <n v="4000"/>
    <n v="80000"/>
    <n v="38400"/>
    <n v="41600"/>
    <s v="架空サンプル"/>
    <x v="19"/>
    <x v="1"/>
    <x v="7"/>
  </r>
  <r>
    <x v="59"/>
    <x v="1"/>
    <x v="7"/>
    <n v="25"/>
    <n v="4000"/>
    <n v="100000"/>
    <n v="48000"/>
    <n v="52000"/>
    <s v="架空サンプル"/>
    <x v="19"/>
    <x v="1"/>
    <x v="7"/>
  </r>
  <r>
    <x v="60"/>
    <x v="0"/>
    <x v="0"/>
    <n v="17"/>
    <n v="50000"/>
    <n v="850000"/>
    <n v="612000"/>
    <n v="238000"/>
    <s v="架空サンプル"/>
    <x v="20"/>
    <x v="1"/>
    <x v="8"/>
  </r>
  <r>
    <x v="61"/>
    <x v="0"/>
    <x v="0"/>
    <n v="5"/>
    <n v="50000"/>
    <n v="250000"/>
    <n v="180000"/>
    <n v="70000"/>
    <s v="架空サンプル"/>
    <x v="20"/>
    <x v="1"/>
    <x v="8"/>
  </r>
  <r>
    <x v="62"/>
    <x v="0"/>
    <x v="0"/>
    <n v="10"/>
    <n v="50000"/>
    <n v="500000"/>
    <n v="360000"/>
    <n v="140000"/>
    <s v="架空サンプル"/>
    <x v="20"/>
    <x v="1"/>
    <x v="8"/>
  </r>
  <r>
    <x v="60"/>
    <x v="0"/>
    <x v="1"/>
    <n v="3"/>
    <n v="15000"/>
    <n v="45000"/>
    <n v="21600"/>
    <n v="23400"/>
    <s v="架空サンプル"/>
    <x v="20"/>
    <x v="1"/>
    <x v="8"/>
  </r>
  <r>
    <x v="61"/>
    <x v="0"/>
    <x v="1"/>
    <n v="8"/>
    <n v="15000"/>
    <n v="120000"/>
    <n v="57600"/>
    <n v="62400"/>
    <s v="架空サンプル"/>
    <x v="20"/>
    <x v="1"/>
    <x v="8"/>
  </r>
  <r>
    <x v="62"/>
    <x v="0"/>
    <x v="1"/>
    <n v="13"/>
    <n v="15000"/>
    <n v="195000"/>
    <n v="93600"/>
    <n v="101400"/>
    <s v="架空サンプル"/>
    <x v="20"/>
    <x v="1"/>
    <x v="8"/>
  </r>
  <r>
    <x v="60"/>
    <x v="0"/>
    <x v="2"/>
    <n v="6"/>
    <n v="35000"/>
    <n v="210000"/>
    <n v="113400"/>
    <n v="96600"/>
    <s v="架空サンプル"/>
    <x v="20"/>
    <x v="1"/>
    <x v="8"/>
  </r>
  <r>
    <x v="61"/>
    <x v="0"/>
    <x v="2"/>
    <n v="11"/>
    <n v="35000"/>
    <n v="385000"/>
    <n v="207900"/>
    <n v="177100"/>
    <s v="架空サンプル"/>
    <x v="20"/>
    <x v="1"/>
    <x v="8"/>
  </r>
  <r>
    <x v="62"/>
    <x v="0"/>
    <x v="2"/>
    <n v="16"/>
    <n v="35000"/>
    <n v="560000"/>
    <n v="302400"/>
    <n v="257600"/>
    <s v="架空サンプル"/>
    <x v="20"/>
    <x v="1"/>
    <x v="8"/>
  </r>
  <r>
    <x v="60"/>
    <x v="0"/>
    <x v="3"/>
    <n v="9"/>
    <n v="2500"/>
    <n v="22500"/>
    <n v="13500"/>
    <n v="9000"/>
    <s v="架空サンプル"/>
    <x v="20"/>
    <x v="1"/>
    <x v="8"/>
  </r>
  <r>
    <x v="61"/>
    <x v="0"/>
    <x v="3"/>
    <n v="14"/>
    <n v="2500"/>
    <n v="35000"/>
    <n v="21000"/>
    <n v="14000"/>
    <s v="架空サンプル"/>
    <x v="20"/>
    <x v="1"/>
    <x v="8"/>
  </r>
  <r>
    <x v="62"/>
    <x v="0"/>
    <x v="3"/>
    <n v="2"/>
    <n v="2500"/>
    <n v="5000"/>
    <n v="3000"/>
    <n v="2000"/>
    <s v="架空サンプル"/>
    <x v="20"/>
    <x v="1"/>
    <x v="8"/>
  </r>
  <r>
    <x v="60"/>
    <x v="1"/>
    <x v="4"/>
    <n v="30"/>
    <n v="2000"/>
    <n v="60000"/>
    <n v="39600"/>
    <n v="20400"/>
    <s v="架空サンプル"/>
    <x v="20"/>
    <x v="1"/>
    <x v="8"/>
  </r>
  <r>
    <x v="61"/>
    <x v="1"/>
    <x v="4"/>
    <n v="35"/>
    <n v="2000"/>
    <n v="70000"/>
    <n v="46200"/>
    <n v="23800"/>
    <s v="架空サンプル"/>
    <x v="20"/>
    <x v="1"/>
    <x v="8"/>
  </r>
  <r>
    <x v="62"/>
    <x v="1"/>
    <x v="4"/>
    <n v="23"/>
    <n v="2000"/>
    <n v="46000"/>
    <n v="30360"/>
    <n v="15640"/>
    <s v="架空サンプル"/>
    <x v="20"/>
    <x v="1"/>
    <x v="8"/>
  </r>
  <r>
    <x v="60"/>
    <x v="1"/>
    <x v="5"/>
    <n v="33"/>
    <n v="1800"/>
    <n v="59400"/>
    <n v="42768"/>
    <n v="16632"/>
    <s v="架空サンプル"/>
    <x v="20"/>
    <x v="1"/>
    <x v="8"/>
  </r>
  <r>
    <x v="61"/>
    <x v="1"/>
    <x v="5"/>
    <n v="21"/>
    <n v="1800"/>
    <n v="37800"/>
    <n v="27216"/>
    <n v="10584"/>
    <s v="架空サンプル"/>
    <x v="20"/>
    <x v="1"/>
    <x v="8"/>
  </r>
  <r>
    <x v="62"/>
    <x v="1"/>
    <x v="5"/>
    <n v="26"/>
    <n v="1800"/>
    <n v="46800"/>
    <n v="33696"/>
    <n v="13104"/>
    <s v="架空サンプル"/>
    <x v="20"/>
    <x v="1"/>
    <x v="8"/>
  </r>
  <r>
    <x v="60"/>
    <x v="1"/>
    <x v="6"/>
    <n v="36"/>
    <n v="3200"/>
    <n v="115200"/>
    <n v="55296"/>
    <n v="59904"/>
    <s v="架空サンプル"/>
    <x v="20"/>
    <x v="1"/>
    <x v="8"/>
  </r>
  <r>
    <x v="61"/>
    <x v="1"/>
    <x v="6"/>
    <n v="24"/>
    <n v="3200"/>
    <n v="76800"/>
    <n v="36864"/>
    <n v="39936"/>
    <s v="架空サンプル"/>
    <x v="20"/>
    <x v="1"/>
    <x v="8"/>
  </r>
  <r>
    <x v="62"/>
    <x v="1"/>
    <x v="6"/>
    <n v="29"/>
    <n v="3200"/>
    <n v="92800"/>
    <n v="44544"/>
    <n v="48256"/>
    <s v="架空サンプル"/>
    <x v="20"/>
    <x v="1"/>
    <x v="8"/>
  </r>
  <r>
    <x v="60"/>
    <x v="1"/>
    <x v="7"/>
    <n v="22"/>
    <n v="4000"/>
    <n v="88000"/>
    <n v="47520"/>
    <n v="40480"/>
    <s v="架空サンプル"/>
    <x v="20"/>
    <x v="1"/>
    <x v="8"/>
  </r>
  <r>
    <x v="61"/>
    <x v="1"/>
    <x v="7"/>
    <n v="27"/>
    <n v="4000"/>
    <n v="108000"/>
    <n v="58320"/>
    <n v="49680"/>
    <s v="架空サンプル"/>
    <x v="20"/>
    <x v="1"/>
    <x v="8"/>
  </r>
  <r>
    <x v="62"/>
    <x v="1"/>
    <x v="7"/>
    <n v="32"/>
    <n v="4000"/>
    <n v="128000"/>
    <n v="69120"/>
    <n v="58880"/>
    <s v="架空サンプル"/>
    <x v="20"/>
    <x v="1"/>
    <x v="8"/>
  </r>
  <r>
    <x v="63"/>
    <x v="0"/>
    <x v="0"/>
    <n v="7"/>
    <n v="50000"/>
    <n v="350000"/>
    <n v="168000"/>
    <n v="182000"/>
    <s v="架空サンプル"/>
    <x v="21"/>
    <x v="1"/>
    <x v="9"/>
  </r>
  <r>
    <x v="64"/>
    <x v="0"/>
    <x v="0"/>
    <n v="12"/>
    <n v="50000"/>
    <n v="600000"/>
    <n v="288000"/>
    <n v="312000"/>
    <s v="架空サンプル"/>
    <x v="21"/>
    <x v="1"/>
    <x v="9"/>
  </r>
  <r>
    <x v="65"/>
    <x v="0"/>
    <x v="0"/>
    <n v="17"/>
    <n v="50000"/>
    <n v="850000"/>
    <n v="408000"/>
    <n v="442000"/>
    <s v="架空サンプル"/>
    <x v="21"/>
    <x v="1"/>
    <x v="9"/>
  </r>
  <r>
    <x v="63"/>
    <x v="0"/>
    <x v="1"/>
    <n v="10"/>
    <n v="15000"/>
    <n v="150000"/>
    <n v="81000"/>
    <n v="69000"/>
    <s v="架空サンプル"/>
    <x v="21"/>
    <x v="1"/>
    <x v="9"/>
  </r>
  <r>
    <x v="64"/>
    <x v="0"/>
    <x v="1"/>
    <n v="15"/>
    <n v="15000"/>
    <n v="225000"/>
    <n v="121500"/>
    <n v="103500"/>
    <s v="架空サンプル"/>
    <x v="21"/>
    <x v="1"/>
    <x v="9"/>
  </r>
  <r>
    <x v="65"/>
    <x v="0"/>
    <x v="1"/>
    <n v="3"/>
    <n v="15000"/>
    <n v="45000"/>
    <n v="24300"/>
    <n v="20700"/>
    <s v="架空サンプル"/>
    <x v="21"/>
    <x v="1"/>
    <x v="9"/>
  </r>
  <r>
    <x v="63"/>
    <x v="0"/>
    <x v="2"/>
    <n v="13"/>
    <n v="35000"/>
    <n v="455000"/>
    <n v="273000"/>
    <n v="182000"/>
    <s v="架空サンプル"/>
    <x v="21"/>
    <x v="1"/>
    <x v="9"/>
  </r>
  <r>
    <x v="64"/>
    <x v="0"/>
    <x v="2"/>
    <n v="18"/>
    <n v="35000"/>
    <n v="630000"/>
    <n v="378000"/>
    <n v="252000"/>
    <s v="架空サンプル"/>
    <x v="21"/>
    <x v="1"/>
    <x v="9"/>
  </r>
  <r>
    <x v="65"/>
    <x v="0"/>
    <x v="2"/>
    <n v="6"/>
    <n v="35000"/>
    <n v="210000"/>
    <n v="126000"/>
    <n v="84000"/>
    <s v="架空サンプル"/>
    <x v="21"/>
    <x v="1"/>
    <x v="9"/>
  </r>
  <r>
    <x v="63"/>
    <x v="0"/>
    <x v="3"/>
    <n v="16"/>
    <n v="2500"/>
    <n v="40000"/>
    <n v="26400"/>
    <n v="13600"/>
    <s v="架空サンプル"/>
    <x v="21"/>
    <x v="1"/>
    <x v="9"/>
  </r>
  <r>
    <x v="64"/>
    <x v="0"/>
    <x v="3"/>
    <n v="4"/>
    <n v="2500"/>
    <n v="10000"/>
    <n v="6600"/>
    <n v="3400"/>
    <s v="架空サンプル"/>
    <x v="21"/>
    <x v="1"/>
    <x v="9"/>
  </r>
  <r>
    <x v="65"/>
    <x v="0"/>
    <x v="3"/>
    <n v="9"/>
    <n v="2500"/>
    <n v="22500"/>
    <n v="14850"/>
    <n v="7650"/>
    <s v="架空サンプル"/>
    <x v="21"/>
    <x v="1"/>
    <x v="9"/>
  </r>
  <r>
    <x v="63"/>
    <x v="1"/>
    <x v="4"/>
    <n v="20"/>
    <n v="2000"/>
    <n v="40000"/>
    <n v="28800"/>
    <n v="11200"/>
    <s v="架空サンプル"/>
    <x v="21"/>
    <x v="1"/>
    <x v="9"/>
  </r>
  <r>
    <x v="64"/>
    <x v="1"/>
    <x v="4"/>
    <n v="25"/>
    <n v="2000"/>
    <n v="50000"/>
    <n v="36000"/>
    <n v="14000"/>
    <s v="架空サンプル"/>
    <x v="21"/>
    <x v="1"/>
    <x v="9"/>
  </r>
  <r>
    <x v="65"/>
    <x v="1"/>
    <x v="4"/>
    <n v="30"/>
    <n v="2000"/>
    <n v="60000"/>
    <n v="43200"/>
    <n v="16800"/>
    <s v="架空サンプル"/>
    <x v="21"/>
    <x v="1"/>
    <x v="9"/>
  </r>
  <r>
    <x v="63"/>
    <x v="1"/>
    <x v="5"/>
    <n v="23"/>
    <n v="1800"/>
    <n v="41400"/>
    <n v="19872"/>
    <n v="21528"/>
    <s v="架空サンプル"/>
    <x v="21"/>
    <x v="1"/>
    <x v="9"/>
  </r>
  <r>
    <x v="64"/>
    <x v="1"/>
    <x v="5"/>
    <n v="28"/>
    <n v="1800"/>
    <n v="50400"/>
    <n v="24192"/>
    <n v="26208"/>
    <s v="架空サンプル"/>
    <x v="21"/>
    <x v="1"/>
    <x v="9"/>
  </r>
  <r>
    <x v="65"/>
    <x v="1"/>
    <x v="5"/>
    <n v="33"/>
    <n v="1800"/>
    <n v="59400"/>
    <n v="28512"/>
    <n v="30888"/>
    <s v="架空サンプル"/>
    <x v="21"/>
    <x v="1"/>
    <x v="9"/>
  </r>
  <r>
    <x v="63"/>
    <x v="1"/>
    <x v="6"/>
    <n v="26"/>
    <n v="3200"/>
    <n v="83200"/>
    <n v="44928"/>
    <n v="38272"/>
    <s v="架空サンプル"/>
    <x v="21"/>
    <x v="1"/>
    <x v="9"/>
  </r>
  <r>
    <x v="64"/>
    <x v="1"/>
    <x v="6"/>
    <n v="31"/>
    <n v="3200"/>
    <n v="99200"/>
    <n v="53568"/>
    <n v="45632"/>
    <s v="架空サンプル"/>
    <x v="21"/>
    <x v="1"/>
    <x v="9"/>
  </r>
  <r>
    <x v="65"/>
    <x v="1"/>
    <x v="6"/>
    <n v="36"/>
    <n v="3200"/>
    <n v="115200"/>
    <n v="62208"/>
    <n v="52992"/>
    <s v="架空サンプル"/>
    <x v="21"/>
    <x v="1"/>
    <x v="9"/>
  </r>
  <r>
    <x v="63"/>
    <x v="1"/>
    <x v="7"/>
    <n v="29"/>
    <n v="4000"/>
    <n v="116000"/>
    <n v="69600"/>
    <n v="46400"/>
    <s v="架空サンプル"/>
    <x v="21"/>
    <x v="1"/>
    <x v="9"/>
  </r>
  <r>
    <x v="64"/>
    <x v="1"/>
    <x v="7"/>
    <n v="34"/>
    <n v="4000"/>
    <n v="136000"/>
    <n v="81600"/>
    <n v="54400"/>
    <s v="架空サンプル"/>
    <x v="21"/>
    <x v="1"/>
    <x v="9"/>
  </r>
  <r>
    <x v="65"/>
    <x v="1"/>
    <x v="7"/>
    <n v="22"/>
    <n v="4000"/>
    <n v="88000"/>
    <n v="52800"/>
    <n v="35200"/>
    <s v="架空サンプル"/>
    <x v="21"/>
    <x v="1"/>
    <x v="9"/>
  </r>
  <r>
    <x v="66"/>
    <x v="0"/>
    <x v="0"/>
    <n v="14"/>
    <n v="50000"/>
    <n v="700000"/>
    <n v="378000"/>
    <n v="322000"/>
    <s v="架空サンプル"/>
    <x v="22"/>
    <x v="1"/>
    <x v="10"/>
  </r>
  <r>
    <x v="67"/>
    <x v="0"/>
    <x v="0"/>
    <n v="2"/>
    <n v="50000"/>
    <n v="100000"/>
    <n v="54000"/>
    <n v="46000"/>
    <s v="架空サンプル"/>
    <x v="22"/>
    <x v="1"/>
    <x v="10"/>
  </r>
  <r>
    <x v="68"/>
    <x v="0"/>
    <x v="0"/>
    <n v="7"/>
    <n v="50000"/>
    <n v="350000"/>
    <n v="189000"/>
    <n v="161000"/>
    <s v="架空サンプル"/>
    <x v="22"/>
    <x v="1"/>
    <x v="10"/>
  </r>
  <r>
    <x v="66"/>
    <x v="0"/>
    <x v="1"/>
    <n v="17"/>
    <n v="15000"/>
    <n v="255000"/>
    <n v="153000"/>
    <n v="102000"/>
    <s v="架空サンプル"/>
    <x v="22"/>
    <x v="1"/>
    <x v="10"/>
  </r>
  <r>
    <x v="67"/>
    <x v="0"/>
    <x v="1"/>
    <n v="5"/>
    <n v="15000"/>
    <n v="75000"/>
    <n v="45000"/>
    <n v="30000"/>
    <s v="架空サンプル"/>
    <x v="22"/>
    <x v="1"/>
    <x v="10"/>
  </r>
  <r>
    <x v="68"/>
    <x v="0"/>
    <x v="1"/>
    <n v="10"/>
    <n v="15000"/>
    <n v="150000"/>
    <n v="90000"/>
    <n v="60000"/>
    <s v="架空サンプル"/>
    <x v="22"/>
    <x v="1"/>
    <x v="10"/>
  </r>
  <r>
    <x v="66"/>
    <x v="0"/>
    <x v="2"/>
    <n v="3"/>
    <n v="35000"/>
    <n v="105000"/>
    <n v="69300"/>
    <n v="35700"/>
    <s v="架空サンプル"/>
    <x v="22"/>
    <x v="1"/>
    <x v="10"/>
  </r>
  <r>
    <x v="67"/>
    <x v="0"/>
    <x v="2"/>
    <n v="8"/>
    <n v="35000"/>
    <n v="280000"/>
    <n v="184800"/>
    <n v="95200"/>
    <s v="架空サンプル"/>
    <x v="22"/>
    <x v="1"/>
    <x v="10"/>
  </r>
  <r>
    <x v="68"/>
    <x v="0"/>
    <x v="2"/>
    <n v="13"/>
    <n v="35000"/>
    <n v="455000"/>
    <n v="300300"/>
    <n v="154700"/>
    <s v="架空サンプル"/>
    <x v="22"/>
    <x v="1"/>
    <x v="10"/>
  </r>
  <r>
    <x v="66"/>
    <x v="0"/>
    <x v="3"/>
    <n v="6"/>
    <n v="2500"/>
    <n v="15000"/>
    <n v="10800"/>
    <n v="4200"/>
    <s v="架空サンプル"/>
    <x v="22"/>
    <x v="1"/>
    <x v="10"/>
  </r>
  <r>
    <x v="67"/>
    <x v="0"/>
    <x v="3"/>
    <n v="11"/>
    <n v="2500"/>
    <n v="27500"/>
    <n v="19800"/>
    <n v="7700"/>
    <s v="架空サンプル"/>
    <x v="22"/>
    <x v="1"/>
    <x v="10"/>
  </r>
  <r>
    <x v="68"/>
    <x v="0"/>
    <x v="3"/>
    <n v="16"/>
    <n v="2500"/>
    <n v="40000"/>
    <n v="28800"/>
    <n v="11200"/>
    <s v="架空サンプル"/>
    <x v="22"/>
    <x v="1"/>
    <x v="10"/>
  </r>
  <r>
    <x v="66"/>
    <x v="1"/>
    <x v="4"/>
    <n v="27"/>
    <n v="2000"/>
    <n v="54000"/>
    <n v="25920"/>
    <n v="28080"/>
    <s v="架空サンプル"/>
    <x v="22"/>
    <x v="1"/>
    <x v="10"/>
  </r>
  <r>
    <x v="67"/>
    <x v="1"/>
    <x v="4"/>
    <n v="32"/>
    <n v="2000"/>
    <n v="64000"/>
    <n v="30720"/>
    <n v="33280"/>
    <s v="架空サンプル"/>
    <x v="22"/>
    <x v="1"/>
    <x v="10"/>
  </r>
  <r>
    <x v="68"/>
    <x v="1"/>
    <x v="4"/>
    <n v="20"/>
    <n v="2000"/>
    <n v="40000"/>
    <n v="19200"/>
    <n v="20800"/>
    <s v="架空サンプル"/>
    <x v="22"/>
    <x v="1"/>
    <x v="10"/>
  </r>
  <r>
    <x v="66"/>
    <x v="1"/>
    <x v="5"/>
    <n v="30"/>
    <n v="1800"/>
    <n v="54000"/>
    <n v="29160"/>
    <n v="24840"/>
    <s v="架空サンプル"/>
    <x v="22"/>
    <x v="1"/>
    <x v="10"/>
  </r>
  <r>
    <x v="67"/>
    <x v="1"/>
    <x v="5"/>
    <n v="35"/>
    <n v="1800"/>
    <n v="63000"/>
    <n v="34020"/>
    <n v="28980"/>
    <s v="架空サンプル"/>
    <x v="22"/>
    <x v="1"/>
    <x v="10"/>
  </r>
  <r>
    <x v="68"/>
    <x v="1"/>
    <x v="5"/>
    <n v="23"/>
    <n v="1800"/>
    <n v="41400"/>
    <n v="22356"/>
    <n v="19044"/>
    <s v="架空サンプル"/>
    <x v="22"/>
    <x v="1"/>
    <x v="10"/>
  </r>
  <r>
    <x v="66"/>
    <x v="1"/>
    <x v="6"/>
    <n v="33"/>
    <n v="3200"/>
    <n v="105600"/>
    <n v="63360"/>
    <n v="42240"/>
    <s v="架空サンプル"/>
    <x v="22"/>
    <x v="1"/>
    <x v="10"/>
  </r>
  <r>
    <x v="67"/>
    <x v="1"/>
    <x v="6"/>
    <n v="21"/>
    <n v="3200"/>
    <n v="67200"/>
    <n v="40320"/>
    <n v="26880"/>
    <s v="架空サンプル"/>
    <x v="22"/>
    <x v="1"/>
    <x v="10"/>
  </r>
  <r>
    <x v="68"/>
    <x v="1"/>
    <x v="6"/>
    <n v="26"/>
    <n v="3200"/>
    <n v="83200"/>
    <n v="49920"/>
    <n v="33280"/>
    <s v="架空サンプル"/>
    <x v="22"/>
    <x v="1"/>
    <x v="10"/>
  </r>
  <r>
    <x v="66"/>
    <x v="1"/>
    <x v="7"/>
    <n v="36"/>
    <n v="4000"/>
    <n v="144000"/>
    <n v="95040"/>
    <n v="48960"/>
    <s v="架空サンプル"/>
    <x v="22"/>
    <x v="1"/>
    <x v="10"/>
  </r>
  <r>
    <x v="67"/>
    <x v="1"/>
    <x v="7"/>
    <n v="24"/>
    <n v="4000"/>
    <n v="96000"/>
    <n v="63360"/>
    <n v="32640"/>
    <s v="架空サンプル"/>
    <x v="22"/>
    <x v="1"/>
    <x v="10"/>
  </r>
  <r>
    <x v="68"/>
    <x v="1"/>
    <x v="7"/>
    <n v="29"/>
    <n v="4000"/>
    <n v="116000"/>
    <n v="76560"/>
    <n v="39440"/>
    <s v="架空サンプル"/>
    <x v="22"/>
    <x v="1"/>
    <x v="10"/>
  </r>
  <r>
    <x v="69"/>
    <x v="0"/>
    <x v="0"/>
    <n v="4"/>
    <n v="50000"/>
    <n v="200000"/>
    <n v="120000"/>
    <n v="80000"/>
    <s v="架空サンプル"/>
    <x v="23"/>
    <x v="1"/>
    <x v="11"/>
  </r>
  <r>
    <x v="70"/>
    <x v="0"/>
    <x v="0"/>
    <n v="9"/>
    <n v="50000"/>
    <n v="450000"/>
    <n v="270000"/>
    <n v="180000"/>
    <s v="架空サンプル"/>
    <x v="23"/>
    <x v="1"/>
    <x v="11"/>
  </r>
  <r>
    <x v="71"/>
    <x v="0"/>
    <x v="0"/>
    <n v="14"/>
    <n v="50000"/>
    <n v="700000"/>
    <n v="420000"/>
    <n v="280000"/>
    <s v="架空サンプル"/>
    <x v="23"/>
    <x v="1"/>
    <x v="11"/>
  </r>
  <r>
    <x v="69"/>
    <x v="0"/>
    <x v="1"/>
    <n v="7"/>
    <n v="15000"/>
    <n v="105000"/>
    <n v="69300"/>
    <n v="35700"/>
    <s v="架空サンプル"/>
    <x v="23"/>
    <x v="1"/>
    <x v="11"/>
  </r>
  <r>
    <x v="70"/>
    <x v="0"/>
    <x v="1"/>
    <n v="12"/>
    <n v="15000"/>
    <n v="180000"/>
    <n v="118800"/>
    <n v="61200"/>
    <s v="架空サンプル"/>
    <x v="23"/>
    <x v="1"/>
    <x v="11"/>
  </r>
  <r>
    <x v="71"/>
    <x v="0"/>
    <x v="1"/>
    <n v="17"/>
    <n v="15000"/>
    <n v="255000"/>
    <n v="168300"/>
    <n v="86700"/>
    <s v="架空サンプル"/>
    <x v="23"/>
    <x v="1"/>
    <x v="11"/>
  </r>
  <r>
    <x v="69"/>
    <x v="0"/>
    <x v="2"/>
    <n v="10"/>
    <n v="35000"/>
    <n v="350000"/>
    <n v="252000"/>
    <n v="98000"/>
    <s v="架空サンプル"/>
    <x v="23"/>
    <x v="1"/>
    <x v="11"/>
  </r>
  <r>
    <x v="70"/>
    <x v="0"/>
    <x v="2"/>
    <n v="15"/>
    <n v="35000"/>
    <n v="525000"/>
    <n v="378000"/>
    <n v="147000"/>
    <s v="架空サンプル"/>
    <x v="23"/>
    <x v="1"/>
    <x v="11"/>
  </r>
  <r>
    <x v="71"/>
    <x v="0"/>
    <x v="2"/>
    <n v="3"/>
    <n v="35000"/>
    <n v="105000"/>
    <n v="75600"/>
    <n v="29400"/>
    <s v="架空サンプル"/>
    <x v="23"/>
    <x v="1"/>
    <x v="11"/>
  </r>
  <r>
    <x v="69"/>
    <x v="0"/>
    <x v="3"/>
    <n v="13"/>
    <n v="2500"/>
    <n v="32500"/>
    <n v="15600"/>
    <n v="16900"/>
    <s v="架空サンプル"/>
    <x v="23"/>
    <x v="1"/>
    <x v="11"/>
  </r>
  <r>
    <x v="70"/>
    <x v="0"/>
    <x v="3"/>
    <n v="18"/>
    <n v="2500"/>
    <n v="45000"/>
    <n v="21600"/>
    <n v="23400"/>
    <s v="架空サンプル"/>
    <x v="23"/>
    <x v="1"/>
    <x v="11"/>
  </r>
  <r>
    <x v="71"/>
    <x v="0"/>
    <x v="3"/>
    <n v="6"/>
    <n v="2500"/>
    <n v="15000"/>
    <n v="7200"/>
    <n v="7800"/>
    <s v="架空サンプル"/>
    <x v="23"/>
    <x v="1"/>
    <x v="11"/>
  </r>
  <r>
    <x v="69"/>
    <x v="1"/>
    <x v="4"/>
    <n v="34"/>
    <n v="2000"/>
    <n v="68000"/>
    <n v="36720"/>
    <n v="31280"/>
    <s v="架空サンプル"/>
    <x v="23"/>
    <x v="1"/>
    <x v="11"/>
  </r>
  <r>
    <x v="70"/>
    <x v="1"/>
    <x v="4"/>
    <n v="22"/>
    <n v="2000"/>
    <n v="44000"/>
    <n v="23760"/>
    <n v="20240"/>
    <s v="架空サンプル"/>
    <x v="23"/>
    <x v="1"/>
    <x v="11"/>
  </r>
  <r>
    <x v="71"/>
    <x v="1"/>
    <x v="4"/>
    <n v="27"/>
    <n v="2000"/>
    <n v="54000"/>
    <n v="29160"/>
    <n v="24840"/>
    <s v="架空サンプル"/>
    <x v="23"/>
    <x v="1"/>
    <x v="11"/>
  </r>
  <r>
    <x v="69"/>
    <x v="1"/>
    <x v="5"/>
    <n v="20"/>
    <n v="1800"/>
    <n v="36000"/>
    <n v="21600"/>
    <n v="14400"/>
    <s v="架空サンプル"/>
    <x v="23"/>
    <x v="1"/>
    <x v="11"/>
  </r>
  <r>
    <x v="70"/>
    <x v="1"/>
    <x v="5"/>
    <n v="25"/>
    <n v="1800"/>
    <n v="45000"/>
    <n v="27000"/>
    <n v="18000"/>
    <s v="架空サンプル"/>
    <x v="23"/>
    <x v="1"/>
    <x v="11"/>
  </r>
  <r>
    <x v="71"/>
    <x v="1"/>
    <x v="5"/>
    <n v="30"/>
    <n v="1800"/>
    <n v="54000"/>
    <n v="32400"/>
    <n v="21600"/>
    <s v="架空サンプル"/>
    <x v="23"/>
    <x v="1"/>
    <x v="11"/>
  </r>
  <r>
    <x v="69"/>
    <x v="1"/>
    <x v="6"/>
    <n v="23"/>
    <n v="3200"/>
    <n v="73600"/>
    <n v="48576"/>
    <n v="25024"/>
    <s v="架空サンプル"/>
    <x v="23"/>
    <x v="1"/>
    <x v="11"/>
  </r>
  <r>
    <x v="70"/>
    <x v="1"/>
    <x v="6"/>
    <n v="28"/>
    <n v="3200"/>
    <n v="89600"/>
    <n v="59136"/>
    <n v="30464"/>
    <s v="架空サンプル"/>
    <x v="23"/>
    <x v="1"/>
    <x v="11"/>
  </r>
  <r>
    <x v="71"/>
    <x v="1"/>
    <x v="6"/>
    <n v="33"/>
    <n v="3200"/>
    <n v="105600"/>
    <n v="69696"/>
    <n v="35904"/>
    <s v="架空サンプル"/>
    <x v="23"/>
    <x v="1"/>
    <x v="11"/>
  </r>
  <r>
    <x v="69"/>
    <x v="1"/>
    <x v="7"/>
    <n v="26"/>
    <n v="4000"/>
    <n v="104000"/>
    <n v="74880"/>
    <n v="29120"/>
    <s v="架空サンプル"/>
    <x v="23"/>
    <x v="1"/>
    <x v="11"/>
  </r>
  <r>
    <x v="70"/>
    <x v="1"/>
    <x v="7"/>
    <n v="31"/>
    <n v="4000"/>
    <n v="124000"/>
    <n v="89280"/>
    <n v="34720"/>
    <s v="架空サンプル"/>
    <x v="23"/>
    <x v="1"/>
    <x v="11"/>
  </r>
  <r>
    <x v="71"/>
    <x v="1"/>
    <x v="7"/>
    <n v="36"/>
    <n v="4000"/>
    <n v="144000"/>
    <n v="103680"/>
    <n v="40320"/>
    <s v="架空サンプル"/>
    <x v="23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24A07-F7E5-4B44-9338-10234F385EEB}" name="PT-08" cacheId="124" applyNumberFormats="0" applyBorderFormats="0" applyFontFormats="0" applyPatternFormats="0" applyAlignmentFormats="0" applyWidthHeightFormats="1" dataCaption="値" updatedVersion="8" minRefreshableVersion="3" useAutoFormatting="1" rowGrandTotals="0" colGrandTotals="0" itemPrintTitles="1" createdVersion="8" indent="0" compact="0" compactData="0" multipleFieldFilters="0" chartFormat="1">
  <location ref="H28:J41" firstHeaderRow="1" firstDataRow="2" firstDataCol="1"/>
  <pivotFields count="14">
    <pivotField compact="0" numFmtId="177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0"/>
  </colFields>
  <colItems count="2">
    <i>
      <x/>
    </i>
    <i>
      <x v="1"/>
    </i>
  </colItems>
  <dataFields count="1">
    <dataField name="売上（万円）" fld="12" baseField="0" baseItem="0" numFmtId="183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1ECD6-10A0-461D-9578-D1A2EA15490F}" name="PT-07" cacheId="124" applyNumberFormats="0" applyBorderFormats="0" applyFontFormats="0" applyPatternFormats="0" applyAlignmentFormats="0" applyWidthHeightFormats="1" dataCaption="値" updatedVersion="8" minRefreshableVersion="3" useAutoFormatting="1" rowGrandTotals="0" colGrandTotals="0" itemPrintTitles="1" createdVersion="8" indent="0" compact="0" compactData="0" multipleFieldFilters="0">
  <location ref="H20:I22" firstHeaderRow="1" firstDataRow="1" firstDataCol="1"/>
  <pivotFields count="14">
    <pivotField compact="0" numFmtId="177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10"/>
  </rowFields>
  <rowItems count="2">
    <i>
      <x/>
    </i>
    <i>
      <x v="1"/>
    </i>
  </rowItems>
  <colItems count="1">
    <i/>
  </colItems>
  <dataFields count="1">
    <dataField name="売上（万円）" fld="12" baseField="0" baseItem="0" numFmtId="18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639E7-2A81-490C-AE9D-C51C64A7723A}" name="PT-06" cacheId="124" applyNumberFormats="0" applyBorderFormats="0" applyFontFormats="0" applyPatternFormats="0" applyAlignmentFormats="0" applyWidthHeightFormats="1" dataCaption="値" updatedVersion="8" minRefreshableVersion="5" useAutoFormatting="1" itemPrintTitles="1" createdVersion="8" indent="0" outline="1" outlineData="1" multipleFieldFilters="0">
  <location ref="H14:I15" firstHeaderRow="0" firstDataRow="1" firstDataCol="0"/>
  <pivotFields count="14">
    <pivotField numFmtId="177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>
      <items count="3">
        <item x="1"/>
        <item x="0"/>
        <item t="default"/>
      </items>
    </pivotField>
    <pivotField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numFmtId="3" showAll="0"/>
    <pivotField numFmtId="3" showAll="0"/>
    <pivotField dataField="1" numFmtId="3" showAll="0"/>
    <pivotField numFmtId="3" showAll="0"/>
    <pivotField dataField="1" numFmtId="3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売上合計" fld="5" baseField="0" baseItem="0" numFmtId="3"/>
    <dataField name="差額合計" fld="7" baseField="0" baseItem="0" numFmtId="3"/>
  </dataFields>
  <pivotTableStyleInfo name="PivotStyleLight16" showRowHeaders="1" showColHeaders="1" showRowStripes="0" showColStripes="0" showLastColumn="1"/>
  <filters count="1">
    <filter fld="0" type="dateBetween" evalOrder="-1" id="19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918D0-3276-40F3-B322-6E7DBAA3E5B3}" name="PT-05" cacheId="124" applyNumberFormats="0" applyBorderFormats="0" applyFontFormats="0" applyPatternFormats="0" applyAlignmentFormats="0" applyWidthHeightFormats="1" dataCaption="値" updatedVersion="8" minRefreshableVersion="5" useAutoFormatting="1" rowGrandTotals="0" colGrandTotals="0" itemPrintTitles="1" createdVersion="8" indent="0" compact="0" compactData="0" multipleFieldFilters="0">
  <location ref="H2:T11" firstHeaderRow="1" firstDataRow="2" firstDataCol="1"/>
  <pivotFields count="14">
    <pivotField compact="0" numFmtId="177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outline="0" showAll="0">
      <items count="3">
        <item x="1"/>
        <item x="0"/>
        <item t="default"/>
      </items>
    </pivotField>
    <pivotField axis="axisRow"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axis="axisCol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9"/>
  </colFields>
  <colItems count="12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売上（万円）" fld="12" baseField="0" baseItem="0" numFmtId="183"/>
  </dataFields>
  <pivotTableStyleInfo name="PivotStyleLight16" showRowHeaders="1" showColHeaders="1" showRowStripes="0" showColStripes="0" showLastColumn="1"/>
  <filters count="1">
    <filter fld="0" type="dateBetween" evalOrder="-1" id="19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E14B6-9830-4032-B133-15D038EAD8B8}" name="PT-04" cacheId="124" applyNumberFormats="0" applyBorderFormats="0" applyFontFormats="0" applyPatternFormats="0" applyAlignmentFormats="0" applyWidthHeightFormats="1" dataCaption="値" updatedVersion="8" minRefreshableVersion="5" useAutoFormatting="1" rowGrandTotals="0" colGrandTotals="0" itemPrintTitles="1" createdVersion="8" indent="0" compact="0" compactData="0" multipleFieldFilters="0">
  <location ref="A56:C66" firstHeaderRow="1" firstDataRow="1" firstDataCol="2"/>
  <pivotFields count="14">
    <pivotField compact="0" numFmtId="177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0">
    <i>
      <x/>
      <x v="1"/>
    </i>
    <i r="1">
      <x v="3"/>
    </i>
    <i r="1">
      <x v="5"/>
    </i>
    <i r="1">
      <x v="7"/>
    </i>
    <i t="default">
      <x/>
    </i>
    <i>
      <x v="1"/>
      <x/>
    </i>
    <i r="1">
      <x v="2"/>
    </i>
    <i r="1">
      <x v="4"/>
    </i>
    <i r="1">
      <x v="6"/>
    </i>
    <i t="default">
      <x v="1"/>
    </i>
  </rowItems>
  <colItems count="1">
    <i/>
  </colItems>
  <dataFields count="1">
    <dataField name="売上（万円）" fld="12" baseField="0" baseItem="0" numFmtId="183"/>
  </dataFields>
  <pivotTableStyleInfo name="PivotStyleLight16" showRowHeaders="1" showColHeaders="1" showRowStripes="0" showColStripes="0" showLastColumn="1"/>
  <filters count="1">
    <filter fld="0" type="dateBetween" evalOrder="-1" id="19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1465D-3CB4-4718-9192-73669A6EDD8C}" name="PT-03" cacheId="124" applyNumberFormats="0" applyBorderFormats="0" applyFontFormats="0" applyPatternFormats="0" applyAlignmentFormats="0" applyWidthHeightFormats="1" dataCaption="値" updatedVersion="8" minRefreshableVersion="5" useAutoFormatting="1" rowGrandTotals="0" colGrandTotals="0" itemPrintTitles="1" createdVersion="8" indent="0" compact="0" compactData="0" multipleFieldFilters="0" chartFormat="1">
  <location ref="A26:C38" firstHeaderRow="0" firstDataRow="1" firstDataCol="1"/>
  <pivotFields count="14">
    <pivotField compact="0" numFmtId="177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axis="axisRow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9"/>
  </rowFields>
  <rowItems count="12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-2"/>
  </colFields>
  <colItems count="2">
    <i>
      <x/>
    </i>
    <i i="1">
      <x v="1"/>
    </i>
  </colItems>
  <dataFields count="2">
    <dataField name="売上（万円）" fld="12" baseField="0" baseItem="0" numFmtId="183"/>
    <dataField name="差額（万円）" fld="13" baseField="0" baseItem="0" numFmtId="18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9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13086-909E-462A-98BE-F56F45276799}" name="PT-02" cacheId="124" applyNumberFormats="0" applyBorderFormats="0" applyFontFormats="0" applyPatternFormats="0" applyAlignmentFormats="0" applyWidthHeightFormats="1" dataCaption="値" updatedVersion="8" minRefreshableVersion="5" useAutoFormatting="1" rowGrandTotals="0" colGrandTotals="0" itemPrintTitles="1" createdVersion="8" indent="0" compact="0" compactData="0" multipleFieldFilters="0" chartFormat="1">
  <location ref="A12:B20" firstHeaderRow="1" firstDataRow="1" firstDataCol="1"/>
  <pivotFields count="14">
    <pivotField compact="0" numFmtId="177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outline="0" showAll="0">
      <items count="3">
        <item x="1"/>
        <item x="0"/>
        <item t="default"/>
      </items>
    </pivotField>
    <pivotField axis="axisRow" compact="0" outline="0" showAll="0" sortType="descending">
      <items count="9">
        <item x="0"/>
        <item x="5"/>
        <item x="1"/>
        <item x="7"/>
        <item x="2"/>
        <item x="6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2"/>
  </rowFields>
  <rowItems count="8">
    <i>
      <x/>
    </i>
    <i>
      <x v="4"/>
    </i>
    <i>
      <x v="2"/>
    </i>
    <i>
      <x v="3"/>
    </i>
    <i>
      <x v="5"/>
    </i>
    <i>
      <x v="7"/>
    </i>
    <i>
      <x v="1"/>
    </i>
    <i>
      <x v="6"/>
    </i>
  </rowItems>
  <colItems count="1">
    <i/>
  </colItems>
  <dataFields count="1">
    <dataField name="売上（万円）" fld="12" baseField="0" baseItem="0" numFmtId="18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9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24248-9F18-4441-A27C-5C329F27F69E}" name="PT-01" cacheId="124" applyNumberFormats="0" applyBorderFormats="0" applyFontFormats="0" applyPatternFormats="0" applyAlignmentFormats="0" applyWidthHeightFormats="1" dataCaption="値" updatedVersion="8" minRefreshableVersion="5" useAutoFormatting="1" rowGrandTotals="0" colGrandTotals="0" itemPrintTitles="1" createdVersion="8" indent="0" compact="0" compactData="0" multipleFieldFilters="0" chartFormat="1">
  <location ref="A2:B4" firstHeaderRow="1" firstDataRow="1" firstDataCol="1"/>
  <pivotFields count="14">
    <pivotField compact="0" numFmtId="177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>
      <items count="9">
        <item x="0"/>
        <item x="5"/>
        <item x="1"/>
        <item x="7"/>
        <item x="2"/>
        <item x="6"/>
        <item x="3"/>
        <item x="4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1"/>
  </rowFields>
  <rowItems count="2">
    <i>
      <x/>
    </i>
    <i>
      <x v="1"/>
    </i>
  </rowItems>
  <colItems count="1">
    <i/>
  </colItems>
  <dataFields count="1">
    <dataField name="売上（万円）" fld="12" baseField="0" baseItem="0" numFmtId="18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9" name="日付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_業種" xr10:uid="{C0B0627E-18EB-48C9-B9D7-C55A531EA0C9}" sourceName="業種">
  <pivotTables>
    <pivotTable tabId="13" name="PT-01"/>
    <pivotTable tabId="13" name="PT-02"/>
    <pivotTable tabId="13" name="PT-03"/>
    <pivotTable tabId="13" name="PT-04"/>
    <pivotTable tabId="13" name="PT-05"/>
    <pivotTable tabId="13" name="PT-06"/>
    <pivotTable tabId="13" name="PT-07"/>
    <pivotTable tabId="13" name="PT-08"/>
  </pivotTables>
  <data>
    <tabular pivotCacheId="582196936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_商品" xr10:uid="{A0FD8982-576F-4A42-8259-F3131F7E9530}" sourceName="商品">
  <pivotTables>
    <pivotTable tabId="13" name="PT-02"/>
    <pivotTable tabId="13" name="PT-01"/>
    <pivotTable tabId="13" name="PT-03"/>
    <pivotTable tabId="13" name="PT-04"/>
    <pivotTable tabId="13" name="PT-05"/>
    <pivotTable tabId="13" name="PT-06"/>
    <pivotTable tabId="13" name="PT-07"/>
    <pivotTable tabId="13" name="PT-08"/>
  </pivotTables>
  <data>
    <tabular pivotCacheId="582196936">
      <items count="8">
        <i x="0" s="1"/>
        <i x="5" s="1"/>
        <i x="1" s="1"/>
        <i x="7" s="1"/>
        <i x="2" s="1"/>
        <i x="6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_業種_Shape" xr10:uid="{63364449-9EC2-4A7F-9BBD-1285DA07983F}" cache="SL_業種" caption="業種" rowHeight="241300"/>
  <slicer name="SL_商品_Shape" xr10:uid="{A6D4F6A1-E6F8-40F0-B402-56B491BFE2FB}" cache="SL_商品" caption="商品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48C987-A9EC-46E0-87D3-15DEF2582552}" name="ProductMaster" displayName="ProductMaster" ref="A4:E12" totalsRowShown="0" headerRowDxfId="2" dataDxfId="1">
  <autoFilter ref="A4:E12" xr:uid="{8B48C987-A9EC-46E0-87D3-15DEF2582552}"/>
  <tableColumns count="5">
    <tableColumn id="1" xr3:uid="{13B84626-E3D1-4FC8-BE7A-4F49055644E0}" name="商品 ID" dataDxfId="7"/>
    <tableColumn id="2" xr3:uid="{501A2100-320C-4122-AB42-B89611C07D1E}" name="商品名" dataDxfId="6"/>
    <tableColumn id="3" xr3:uid="{19EB008A-B5EC-4230-A0EE-ADA276B2C002}" name="業種" dataDxfId="5"/>
    <tableColumn id="4" xr3:uid="{30539325-B1BB-45DC-934A-28692F60B3C1}" name="表示順" dataDxfId="4"/>
    <tableColumn id="5" xr3:uid="{D9B1B2FC-1D07-4098-8E26-F02F0C07F4C0}" name="有効" dataDxfId="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History" displayName="SalesHistory" ref="A4:L580" totalsRowShown="0">
  <tableColumns count="12">
    <tableColumn id="1" xr3:uid="{00000000-0010-0000-0000-000001000000}" name="日付"/>
    <tableColumn id="2" xr3:uid="{00000000-0010-0000-0000-000002000000}" name="業種"/>
    <tableColumn id="3" xr3:uid="{00000000-0010-0000-0000-000003000000}" name="商品"/>
    <tableColumn id="4" xr3:uid="{00000000-0010-0000-0000-000004000000}" name="数量"/>
    <tableColumn id="5" xr3:uid="{00000000-0010-0000-0000-000005000000}" name="税抜単価"/>
    <tableColumn id="6" xr3:uid="{00000000-0010-0000-0000-000006000000}" name="税抜売上"/>
    <tableColumn id="7" xr3:uid="{00000000-0010-0000-0000-000007000000}" name="計上原価"/>
    <tableColumn id="8" xr3:uid="{00000000-0010-0000-0000-000008000000}" name="計上原価控除後差額"/>
    <tableColumn id="9" xr3:uid="{00000000-0010-0000-0000-000009000000}" name="データ区分"/>
    <tableColumn id="10" xr3:uid="{84CB2D5A-0E79-4572-A99B-BDAB9B9E96F6}" name="年月" dataDxfId="10" dataCellStyle="Normal">
      <calculatedColumnFormula>TEXT(SalesHistory[[#This Row],[日付]],"yyyy-mm")</calculatedColumnFormula>
    </tableColumn>
    <tableColumn id="11" xr3:uid="{8EBE2044-3DFA-422A-89E5-0E71E59E51F8}" name="年" dataDxfId="9" dataCellStyle="Normal">
      <calculatedColumnFormula>YEAR(SalesHistory[[#This Row],[日付]])</calculatedColumnFormula>
    </tableColumn>
    <tableColumn id="12" xr3:uid="{1ACD7320-A22D-4223-95F4-0AB2E05030B0}" name="月" dataDxfId="8" dataCellStyle="Normal">
      <calculatedColumnFormula>MONTH(SalesHistory[[#This Row],[日付]])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L_日付" xr10:uid="{AD3DE56A-F6AB-403E-919E-F6DD9BF147D4}" sourceName="日付">
  <pivotTables>
    <pivotTable tabId="13" name="PT-03"/>
    <pivotTable tabId="13" name="PT-01"/>
    <pivotTable tabId="13" name="PT-02"/>
    <pivotTable tabId="13" name="PT-04"/>
    <pivotTable tabId="13" name="PT-05"/>
    <pivotTable tabId="13" name="PT-06"/>
  </pivotTables>
  <state minimalRefreshVersion="6" lastRefreshVersion="6" pivotCacheId="582196936" filterType="dateBetween">
    <selection startDate="2026-01-01T00:00:00" endDate="2026-12-31T00:00:00"/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L_日付_Shape" xr10:uid="{CAE041D1-7555-4B01-B929-B24C656C5C2A}" cache="TL_日付" caption="日付" level="2" selectionLevel="0" scrollPosition="2025-11-28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4D45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1</v>
      </c>
      <c r="B5" s="3" t="s">
        <v>2</v>
      </c>
      <c r="C5" s="1"/>
      <c r="D5" s="23" t="s">
        <v>3</v>
      </c>
      <c r="E5" s="23"/>
      <c r="F5" s="23"/>
      <c r="G5" s="23" t="s">
        <v>4</v>
      </c>
      <c r="H5" s="23"/>
      <c r="I5" s="23"/>
      <c r="J5" s="23"/>
      <c r="K5" s="1"/>
    </row>
    <row r="6" spans="1:11" ht="24" customHeight="1">
      <c r="A6" s="1"/>
      <c r="B6" s="1"/>
      <c r="C6" s="1"/>
      <c r="D6" s="26">
        <f ca="1">計算!B30</f>
        <v>160000</v>
      </c>
      <c r="E6" s="26"/>
      <c r="F6" s="26"/>
      <c r="G6" s="26">
        <f ca="1">計算!B31</f>
        <v>88000</v>
      </c>
      <c r="H6" s="26"/>
      <c r="I6" s="26"/>
      <c r="J6" s="26"/>
      <c r="K6" s="1"/>
    </row>
    <row r="7" spans="1:11" ht="24" customHeight="1">
      <c r="A7" s="1" t="s">
        <v>5</v>
      </c>
      <c r="B7" s="4">
        <v>0.3</v>
      </c>
      <c r="C7" s="1"/>
      <c r="D7" s="26"/>
      <c r="E7" s="26"/>
      <c r="F7" s="26"/>
      <c r="G7" s="26"/>
      <c r="H7" s="26"/>
      <c r="I7" s="26"/>
      <c r="J7" s="26"/>
      <c r="K7" s="1"/>
    </row>
    <row r="8" spans="1:11" ht="24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1" t="s">
        <v>6</v>
      </c>
      <c r="B9" s="3">
        <v>0</v>
      </c>
      <c r="C9" s="1"/>
      <c r="D9" s="23" t="s">
        <v>7</v>
      </c>
      <c r="E9" s="23"/>
      <c r="F9" s="23"/>
      <c r="G9" s="23" t="s">
        <v>8</v>
      </c>
      <c r="H9" s="23"/>
      <c r="I9" s="23"/>
      <c r="J9" s="23"/>
      <c r="K9" s="1"/>
    </row>
    <row r="10" spans="1:11" ht="24" customHeight="1">
      <c r="A10" s="1"/>
      <c r="B10" s="1"/>
      <c r="C10" s="1"/>
      <c r="D10" s="26">
        <f ca="1">計算!B32</f>
        <v>72000</v>
      </c>
      <c r="E10" s="26"/>
      <c r="F10" s="26"/>
      <c r="G10" s="27">
        <f ca="1">計算!B33</f>
        <v>0.45</v>
      </c>
      <c r="H10" s="27"/>
      <c r="I10" s="27"/>
      <c r="J10" s="27"/>
      <c r="K10" s="1"/>
    </row>
    <row r="11" spans="1:11" ht="24" customHeight="1">
      <c r="A11" s="1" t="s">
        <v>9</v>
      </c>
      <c r="B11" s="4">
        <v>0</v>
      </c>
      <c r="C11" s="1"/>
      <c r="D11" s="26"/>
      <c r="E11" s="26"/>
      <c r="F11" s="26"/>
      <c r="G11" s="27"/>
      <c r="H11" s="27"/>
      <c r="I11" s="27"/>
      <c r="J11" s="27"/>
      <c r="K11" s="1"/>
    </row>
    <row r="12" spans="1:11" ht="24" customHeight="1">
      <c r="A12" s="1"/>
      <c r="B12" s="1"/>
      <c r="C12" s="1"/>
      <c r="D12" s="23" t="str">
        <f ca="1">IF(計算!B10&lt;&gt;"OK",計算!B10,IF(計算!B30=0,"売価0円・利益率算出不可",IF(計算!B32&lt;0,"赤字",IF(計算!B33&lt;B7,"黒字・目標未達","目標達成"))))</f>
        <v>目標達成</v>
      </c>
      <c r="E12" s="23"/>
      <c r="F12" s="23"/>
      <c r="G12" s="23"/>
      <c r="H12" s="23"/>
      <c r="I12" s="23"/>
      <c r="J12" s="23"/>
      <c r="K12" s="1"/>
    </row>
    <row r="13" spans="1:11" ht="32.1" customHeight="1">
      <c r="A13" s="24" t="s">
        <v>10</v>
      </c>
      <c r="B13" s="24"/>
      <c r="C13" s="24"/>
      <c r="D13" s="24"/>
      <c r="E13" s="24"/>
      <c r="F13" s="24"/>
      <c r="G13" s="24"/>
      <c r="H13" s="24"/>
      <c r="I13" s="24"/>
      <c r="J13" s="24"/>
      <c r="K13" s="1"/>
    </row>
    <row r="14" spans="1:11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2.1" customHeight="1">
      <c r="A15" s="24" t="s">
        <v>11</v>
      </c>
      <c r="B15" s="24"/>
      <c r="C15" s="24"/>
      <c r="D15" s="24"/>
      <c r="E15" s="24"/>
      <c r="F15" s="24"/>
      <c r="G15" s="24"/>
      <c r="H15" s="24"/>
      <c r="I15" s="24"/>
      <c r="J15" s="24"/>
      <c r="K15" s="1"/>
    </row>
    <row r="16" spans="1:11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4" customHeight="1">
      <c r="A17" s="1" t="s">
        <v>12</v>
      </c>
      <c r="B17" s="18">
        <f ca="1">計算!B34</f>
        <v>125715</v>
      </c>
      <c r="C17" s="1"/>
      <c r="D17" s="1" t="s">
        <v>13</v>
      </c>
      <c r="E17" s="1"/>
      <c r="F17" s="14">
        <f ca="1">計算!B35</f>
        <v>0.21428124999999998</v>
      </c>
      <c r="G17" s="1" t="s">
        <v>14</v>
      </c>
      <c r="H17" s="23" t="str">
        <f ca="1">計算!B11</f>
        <v>今回は未算入</v>
      </c>
      <c r="I17" s="23"/>
      <c r="J17" s="23"/>
      <c r="K17" s="1"/>
    </row>
    <row r="18" spans="1:11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0" customHeight="1">
      <c r="A35" s="2" t="s">
        <v>15</v>
      </c>
      <c r="B35" s="2" t="s">
        <v>16</v>
      </c>
      <c r="C35" s="2" t="s">
        <v>3</v>
      </c>
      <c r="D35" s="2" t="s">
        <v>17</v>
      </c>
      <c r="E35" s="2" t="s">
        <v>18</v>
      </c>
      <c r="F35" s="2" t="s">
        <v>19</v>
      </c>
      <c r="G35" s="1"/>
      <c r="H35" s="1"/>
      <c r="I35" s="1"/>
      <c r="J35" s="1"/>
      <c r="K35" s="1"/>
    </row>
    <row r="36" spans="1:11" ht="24" customHeight="1">
      <c r="A36" s="1" t="str">
        <f>計算!A16</f>
        <v>M001</v>
      </c>
      <c r="B36" s="1" t="str">
        <f>計算!B16</f>
        <v>テーブル</v>
      </c>
      <c r="C36" s="7">
        <f ca="1">計算!F16</f>
        <v>100000</v>
      </c>
      <c r="D36" s="7">
        <f ca="1">計算!G16</f>
        <v>50000</v>
      </c>
      <c r="E36" s="7">
        <f ca="1">IF(OR(A36="",計算!B10&lt;&gt;"OK"),"",C36-D36)</f>
        <v>50000</v>
      </c>
      <c r="F36" s="14">
        <f ca="1">IF(OR(A36="",計算!B10&lt;&gt;"OK"),"",IF(C36=0,"算出不可",E36/C36))</f>
        <v>0.5</v>
      </c>
      <c r="G36" s="1"/>
      <c r="H36" s="1"/>
      <c r="I36" s="1"/>
      <c r="J36" s="1"/>
      <c r="K36" s="1"/>
    </row>
    <row r="37" spans="1:11" ht="24" customHeight="1">
      <c r="A37" s="1" t="str">
        <f>計算!A17</f>
        <v>M002</v>
      </c>
      <c r="B37" s="1" t="str">
        <f>計算!B17</f>
        <v>椅子</v>
      </c>
      <c r="C37" s="7">
        <f ca="1">計算!F17</f>
        <v>60000</v>
      </c>
      <c r="D37" s="7">
        <f ca="1">計算!G17</f>
        <v>30000</v>
      </c>
      <c r="E37" s="7">
        <f ca="1">IF(OR(A37="",計算!B10&lt;&gt;"OK"),"",C37-D37)</f>
        <v>30000</v>
      </c>
      <c r="F37" s="14">
        <f ca="1">IF(OR(A37="",計算!B10&lt;&gt;"OK"),"",IF(C37=0,"算出不可",E37/C37))</f>
        <v>0.5</v>
      </c>
      <c r="G37" s="1"/>
      <c r="H37" s="1"/>
      <c r="I37" s="1"/>
      <c r="J37" s="1"/>
      <c r="K37" s="1"/>
    </row>
    <row r="38" spans="1:11" ht="24" customHeight="1">
      <c r="A38" s="1" t="str">
        <f>計算!A18</f>
        <v/>
      </c>
      <c r="B38" s="1" t="str">
        <f>計算!B18</f>
        <v/>
      </c>
      <c r="C38" s="7" t="str">
        <f ca="1">計算!F18</f>
        <v/>
      </c>
      <c r="D38" s="7" t="str">
        <f ca="1">計算!G18</f>
        <v/>
      </c>
      <c r="E38" s="7" t="str">
        <f ca="1">IF(OR(A38="",計算!B10&lt;&gt;"OK"),"",C38-D38)</f>
        <v/>
      </c>
      <c r="F38" s="14" t="str">
        <f ca="1">IF(OR(A38="",計算!B10&lt;&gt;"OK"),"",IF(C38=0,"算出不可",E38/C38))</f>
        <v/>
      </c>
      <c r="G38" s="1"/>
      <c r="H38" s="1"/>
      <c r="I38" s="1"/>
      <c r="J38" s="1"/>
      <c r="K38" s="1"/>
    </row>
    <row r="39" spans="1:11" ht="24" customHeight="1">
      <c r="A39" s="1" t="str">
        <f>計算!A19</f>
        <v/>
      </c>
      <c r="B39" s="1" t="str">
        <f>計算!B19</f>
        <v/>
      </c>
      <c r="C39" s="7" t="str">
        <f ca="1">計算!F19</f>
        <v/>
      </c>
      <c r="D39" s="7" t="str">
        <f ca="1">計算!G19</f>
        <v/>
      </c>
      <c r="E39" s="7" t="str">
        <f ca="1">IF(OR(A39="",計算!B10&lt;&gt;"OK"),"",C39-D39)</f>
        <v/>
      </c>
      <c r="F39" s="14" t="str">
        <f ca="1">IF(OR(A39="",計算!B10&lt;&gt;"OK"),"",IF(C39=0,"算出不可",E39/C39))</f>
        <v/>
      </c>
      <c r="G39" s="1"/>
      <c r="H39" s="1"/>
      <c r="I39" s="1"/>
      <c r="J39" s="1"/>
      <c r="K39" s="1"/>
    </row>
    <row r="40" spans="1:11" ht="24" customHeight="1">
      <c r="A40" s="1" t="str">
        <f>計算!A20</f>
        <v/>
      </c>
      <c r="B40" s="1" t="str">
        <f>計算!B20</f>
        <v/>
      </c>
      <c r="C40" s="7" t="str">
        <f ca="1">計算!F20</f>
        <v/>
      </c>
      <c r="D40" s="7" t="str">
        <f ca="1">計算!G20</f>
        <v/>
      </c>
      <c r="E40" s="7" t="str">
        <f ca="1">IF(OR(A40="",計算!B10&lt;&gt;"OK"),"",C40-D40)</f>
        <v/>
      </c>
      <c r="F40" s="14" t="str">
        <f ca="1">IF(OR(A40="",計算!B10&lt;&gt;"OK"),"",IF(C40=0,"算出不可",E40/C40))</f>
        <v/>
      </c>
      <c r="G40" s="1"/>
      <c r="H40" s="1"/>
      <c r="I40" s="1"/>
      <c r="J40" s="1"/>
      <c r="K40" s="1"/>
    </row>
    <row r="41" spans="1:11" ht="24" customHeight="1">
      <c r="A41" s="1" t="str">
        <f>計算!A21</f>
        <v/>
      </c>
      <c r="B41" s="1" t="str">
        <f>計算!B21</f>
        <v/>
      </c>
      <c r="C41" s="7" t="str">
        <f ca="1">計算!F21</f>
        <v/>
      </c>
      <c r="D41" s="7" t="str">
        <f ca="1">計算!G21</f>
        <v/>
      </c>
      <c r="E41" s="7" t="str">
        <f ca="1">IF(OR(A41="",計算!B10&lt;&gt;"OK"),"",C41-D41)</f>
        <v/>
      </c>
      <c r="F41" s="14" t="str">
        <f ca="1">IF(OR(A41="",計算!B10&lt;&gt;"OK"),"",IF(C41=0,"算出不可",E41/C41))</f>
        <v/>
      </c>
      <c r="G41" s="1"/>
      <c r="H41" s="1"/>
      <c r="I41" s="1"/>
      <c r="J41" s="1"/>
      <c r="K41" s="1"/>
    </row>
    <row r="42" spans="1:11" ht="24" customHeight="1">
      <c r="A42" s="1" t="str">
        <f>計算!A22</f>
        <v/>
      </c>
      <c r="B42" s="1" t="str">
        <f>計算!B22</f>
        <v/>
      </c>
      <c r="C42" s="7" t="str">
        <f ca="1">計算!F22</f>
        <v/>
      </c>
      <c r="D42" s="7" t="str">
        <f ca="1">計算!G22</f>
        <v/>
      </c>
      <c r="E42" s="7" t="str">
        <f ca="1">IF(OR(A42="",計算!B10&lt;&gt;"OK"),"",C42-D42)</f>
        <v/>
      </c>
      <c r="F42" s="14" t="str">
        <f ca="1">IF(OR(A42="",計算!B10&lt;&gt;"OK"),"",IF(C42=0,"算出不可",E42/C42))</f>
        <v/>
      </c>
      <c r="G42" s="1"/>
      <c r="H42" s="1"/>
      <c r="I42" s="1"/>
      <c r="J42" s="1"/>
      <c r="K42" s="1"/>
    </row>
    <row r="43" spans="1:11" ht="24" customHeight="1">
      <c r="A43" s="1" t="str">
        <f>計算!A23</f>
        <v/>
      </c>
      <c r="B43" s="1" t="str">
        <f>計算!B23</f>
        <v/>
      </c>
      <c r="C43" s="7" t="str">
        <f ca="1">計算!F23</f>
        <v/>
      </c>
      <c r="D43" s="7" t="str">
        <f ca="1">計算!G23</f>
        <v/>
      </c>
      <c r="E43" s="7" t="str">
        <f ca="1">IF(OR(A43="",計算!B10&lt;&gt;"OK"),"",C43-D43)</f>
        <v/>
      </c>
      <c r="F43" s="14" t="str">
        <f ca="1">IF(OR(A43="",計算!B10&lt;&gt;"OK"),"",IF(C43=0,"算出不可",E43/C43))</f>
        <v/>
      </c>
      <c r="G43" s="1"/>
      <c r="H43" s="1"/>
      <c r="I43" s="1"/>
      <c r="J43" s="1"/>
      <c r="K43" s="1"/>
    </row>
    <row r="44" spans="1:11" ht="24" customHeight="1">
      <c r="A44" s="1" t="str">
        <f>計算!A24</f>
        <v/>
      </c>
      <c r="B44" s="1" t="str">
        <f>計算!B24</f>
        <v/>
      </c>
      <c r="C44" s="7" t="str">
        <f ca="1">計算!F24</f>
        <v/>
      </c>
      <c r="D44" s="7" t="str">
        <f ca="1">計算!G24</f>
        <v/>
      </c>
      <c r="E44" s="7" t="str">
        <f ca="1">IF(OR(A44="",計算!B10&lt;&gt;"OK"),"",C44-D44)</f>
        <v/>
      </c>
      <c r="F44" s="14" t="str">
        <f ca="1">IF(OR(A44="",計算!B10&lt;&gt;"OK"),"",IF(C44=0,"算出不可",E44/C44))</f>
        <v/>
      </c>
      <c r="G44" s="1"/>
      <c r="H44" s="1"/>
      <c r="I44" s="1"/>
      <c r="J44" s="1"/>
      <c r="K44" s="1"/>
    </row>
    <row r="45" spans="1:11" ht="24" customHeight="1">
      <c r="A45" s="1" t="str">
        <f>計算!A25</f>
        <v/>
      </c>
      <c r="B45" s="1" t="str">
        <f>計算!B25</f>
        <v/>
      </c>
      <c r="C45" s="7" t="str">
        <f ca="1">計算!F25</f>
        <v/>
      </c>
      <c r="D45" s="7" t="str">
        <f ca="1">計算!G25</f>
        <v/>
      </c>
      <c r="E45" s="7" t="str">
        <f ca="1">IF(OR(A45="",計算!B10&lt;&gt;"OK"),"",C45-D45)</f>
        <v/>
      </c>
      <c r="F45" s="14" t="str">
        <f ca="1">IF(OR(A45="",計算!B10&lt;&gt;"OK"),"",IF(C45=0,"算出不可",E45/C45))</f>
        <v/>
      </c>
      <c r="G45" s="1"/>
      <c r="H45" s="1"/>
      <c r="I45" s="1"/>
      <c r="J45" s="1"/>
      <c r="K45" s="1"/>
    </row>
    <row r="46" spans="1:11" ht="24" customHeight="1">
      <c r="A46" s="1"/>
      <c r="B46" s="1"/>
      <c r="C46" s="7"/>
      <c r="D46" s="7"/>
      <c r="E46" s="7"/>
      <c r="F46" s="1"/>
      <c r="G46" s="1"/>
      <c r="H46" s="1"/>
      <c r="I46" s="1"/>
      <c r="J46" s="1"/>
      <c r="K46" s="1"/>
    </row>
    <row r="47" spans="1:11" ht="24" customHeight="1">
      <c r="A47" s="1" t="s">
        <v>20</v>
      </c>
      <c r="B47" s="1"/>
      <c r="C47" s="7"/>
      <c r="D47" s="7">
        <f ca="1">計算!B41</f>
        <v>8000</v>
      </c>
      <c r="E47" s="7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32.1" customHeight="1">
      <c r="A49" s="24" t="s">
        <v>21</v>
      </c>
      <c r="B49" s="24"/>
      <c r="C49" s="24"/>
      <c r="D49" s="24"/>
      <c r="E49" s="24"/>
      <c r="F49" s="24"/>
      <c r="G49" s="24"/>
      <c r="H49" s="24"/>
      <c r="I49" s="24"/>
      <c r="J49" s="24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14">
    <mergeCell ref="H17:J17"/>
    <mergeCell ref="A49:J49"/>
    <mergeCell ref="A2:J2"/>
    <mergeCell ref="A13:J13"/>
    <mergeCell ref="A15:J15"/>
    <mergeCell ref="D5:F5"/>
    <mergeCell ref="D6:F7"/>
    <mergeCell ref="G5:J5"/>
    <mergeCell ref="G6:J7"/>
    <mergeCell ref="D9:F9"/>
    <mergeCell ref="D10:F11"/>
    <mergeCell ref="G9:J9"/>
    <mergeCell ref="G10:J11"/>
    <mergeCell ref="D12:J12"/>
  </mergeCells>
  <phoneticPr fontId="13"/>
  <conditionalFormatting sqref="D10:F11">
    <cfRule type="cellIs" dxfId="15" priority="1" operator="lessThan">
      <formula>0</formula>
    </cfRule>
  </conditionalFormatting>
  <dataValidations count="4">
    <dataValidation type="list" showErrorMessage="1" errorTitle="入力値を確認" error="指定された範囲・選択肢で入力してください。" sqref="B5" xr:uid="{00000000-0002-0000-0000-000000000000}">
      <formula1>IndustryList</formula1>
    </dataValidation>
    <dataValidation type="decimal" showErrorMessage="1" errorTitle="入力値を確認" error="指定された範囲・選択肢で入力してください。" sqref="B7" xr:uid="{00000000-0002-0000-0000-000001000000}">
      <formula1>0</formula1>
      <formula2>0.9999</formula2>
    </dataValidation>
    <dataValidation type="whole" showErrorMessage="1" errorTitle="入力値を確認" error="指定された範囲・選択肢で入力してください。" sqref="B9" xr:uid="{00000000-0002-0000-0000-000002000000}">
      <formula1>0</formula1>
      <formula2>100</formula2>
    </dataValidation>
    <dataValidation type="decimal" showErrorMessage="1" errorTitle="入力値を確認" error="指定された範囲・選択肢で入力してください。" sqref="B11" xr:uid="{00000000-0002-0000-0000-000003000000}">
      <formula1>-1</formula1>
      <formula2>10</formula2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99" r:id="rId3" name="Scroll Bar 1807">
              <controlPr defaultSize="0" print="0" autoFill="0" autoPict="0">
                <anchor>
                  <from>
                    <xdr:col>0</xdr:col>
                    <xdr:colOff>19050</xdr:colOff>
                    <xdr:row>9</xdr:row>
                    <xdr:rowOff>19050</xdr:rowOff>
                  </from>
                  <to>
                    <xdr:col>3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4D45"/>
    <pageSetUpPr fitToPage="1"/>
  </sheetPr>
  <dimension ref="A1:K65"/>
  <sheetViews>
    <sheetView showGridLines="0" zoomScale="80" zoomScaleNormal="100" workbookViewId="0"/>
  </sheetViews>
  <sheetFormatPr defaultRowHeight="15"/>
  <cols>
    <col min="1" max="1" width="10" customWidth="1"/>
    <col min="2" max="3" width="24" customWidth="1"/>
    <col min="4" max="5" width="10" customWidth="1"/>
    <col min="6" max="9" width="16" customWidth="1"/>
    <col min="10" max="10" width="9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25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23" t="str">
        <f>見積入力!B6&amp;" 御中"</f>
        <v>サンプルのお客様 御中</v>
      </c>
      <c r="B4" s="23"/>
      <c r="C4" s="23"/>
      <c r="D4" s="23"/>
      <c r="E4" s="23"/>
      <c r="F4" s="23"/>
      <c r="G4" s="23" t="str">
        <f>"見積番号："&amp;見積入力!B7</f>
        <v>見積番号：DEMO-001</v>
      </c>
      <c r="H4" s="23"/>
      <c r="I4" s="23"/>
      <c r="J4" s="23"/>
      <c r="K4" s="1"/>
    </row>
    <row r="5" spans="1:11" ht="24" customHeight="1">
      <c r="A5" s="1"/>
      <c r="B5" s="1"/>
      <c r="C5" s="1"/>
      <c r="D5" s="1"/>
      <c r="E5" s="1"/>
      <c r="F5" s="1"/>
      <c r="G5" s="23" t="str">
        <f>設定!B11</f>
        <v>サンプル事業者</v>
      </c>
      <c r="H5" s="23"/>
      <c r="I5" s="23"/>
      <c r="J5" s="23"/>
      <c r="K5" s="1"/>
    </row>
    <row r="6" spans="1:11" ht="24" customHeight="1">
      <c r="A6" s="23" t="str">
        <f>"件名："&amp;見積入力!B5</f>
        <v>件名：家具製作・納品</v>
      </c>
      <c r="B6" s="23"/>
      <c r="C6" s="23"/>
      <c r="D6" s="23"/>
      <c r="E6" s="23"/>
      <c r="F6" s="23"/>
      <c r="G6" s="23" t="str">
        <f>設定!B12</f>
        <v>住所を入力してください</v>
      </c>
      <c r="H6" s="23"/>
      <c r="I6" s="23"/>
      <c r="J6" s="23"/>
      <c r="K6" s="1"/>
    </row>
    <row r="7" spans="1:11" ht="24" customHeight="1">
      <c r="A7" s="1"/>
      <c r="B7" s="1"/>
      <c r="C7" s="1"/>
      <c r="D7" s="1"/>
      <c r="E7" s="1"/>
      <c r="F7" s="1"/>
      <c r="G7" s="23" t="str">
        <f>設定!B13</f>
        <v>連絡先を入力してください</v>
      </c>
      <c r="H7" s="23"/>
      <c r="I7" s="23"/>
      <c r="J7" s="23"/>
      <c r="K7" s="1"/>
    </row>
    <row r="8" spans="1:11" ht="24" customHeight="1">
      <c r="A8" s="28" t="s">
        <v>23</v>
      </c>
      <c r="B8" s="28"/>
      <c r="C8" s="30">
        <f ca="1">IF(計算!B10="OK",計算!B39,"入力を確認")</f>
        <v>176000</v>
      </c>
      <c r="D8" s="30"/>
      <c r="E8" s="30"/>
      <c r="F8" s="30"/>
      <c r="G8" s="1"/>
      <c r="H8" s="1"/>
      <c r="I8" s="1"/>
      <c r="J8" s="1"/>
      <c r="K8" s="1"/>
    </row>
    <row r="9" spans="1:11" ht="24" customHeight="1">
      <c r="A9" s="28"/>
      <c r="B9" s="28"/>
      <c r="C9" s="30"/>
      <c r="D9" s="30"/>
      <c r="E9" s="30"/>
      <c r="F9" s="30"/>
      <c r="G9" s="23" t="str">
        <f>"有効期限："&amp;見積入力!B10</f>
        <v>有効期限：発行日から30日</v>
      </c>
      <c r="H9" s="23"/>
      <c r="I9" s="23"/>
      <c r="J9" s="23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1" t="s">
        <v>24</v>
      </c>
      <c r="B11" s="15">
        <f>見積入力!B9</f>
        <v>46315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5.1" customHeight="1">
      <c r="A13" s="2" t="s">
        <v>25</v>
      </c>
      <c r="B13" s="2" t="s">
        <v>16</v>
      </c>
      <c r="C13" s="2" t="s">
        <v>26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31</v>
      </c>
      <c r="I13" s="2" t="s">
        <v>32</v>
      </c>
      <c r="J13" s="2" t="s">
        <v>33</v>
      </c>
      <c r="K13" s="1"/>
    </row>
    <row r="14" spans="1:11" ht="29.1" customHeight="1">
      <c r="A14" s="1">
        <f>IF(計算!A16="","",1)</f>
        <v>1</v>
      </c>
      <c r="B14" s="16" t="str">
        <f>IF(A14="","",見積入力!B16)</f>
        <v>テーブル</v>
      </c>
      <c r="C14" s="16" t="str">
        <f>IF(A14="","",見積入力!C16)</f>
        <v>標準仕様</v>
      </c>
      <c r="D14" s="1">
        <f>IF(A14="","",見積入力!D16)</f>
        <v>2</v>
      </c>
      <c r="E14" s="1" t="str">
        <f>IF(A14="","",見積入力!E16)</f>
        <v>台</v>
      </c>
      <c r="F14" s="7">
        <f>IF(A14="","",見積入力!F16)</f>
        <v>50000</v>
      </c>
      <c r="G14" s="7">
        <f>IF(A14="","",見積入力!H16)</f>
        <v>100000</v>
      </c>
      <c r="H14" s="7">
        <f ca="1">IF(OR(A14="",計算!B10&lt;&gt;"OK"),"",G14-I14)</f>
        <v>0</v>
      </c>
      <c r="I14" s="7">
        <f ca="1">IF(A14="","",計算!H16)</f>
        <v>100000</v>
      </c>
      <c r="J14" s="17">
        <f>IF(A14="","",見積入力!G16)</f>
        <v>0.1</v>
      </c>
      <c r="K14" s="1"/>
    </row>
    <row r="15" spans="1:11" ht="29.1" customHeight="1">
      <c r="A15" s="1">
        <f>IF(計算!A17="","",2)</f>
        <v>2</v>
      </c>
      <c r="B15" s="16" t="str">
        <f>IF(A15="","",見積入力!B17)</f>
        <v>椅子</v>
      </c>
      <c r="C15" s="16" t="str">
        <f>IF(A15="","",見積入力!C17)</f>
        <v>標準仕様</v>
      </c>
      <c r="D15" s="1">
        <f>IF(A15="","",見積入力!D17)</f>
        <v>4</v>
      </c>
      <c r="E15" s="1" t="str">
        <f>IF(A15="","",見積入力!E17)</f>
        <v>脚</v>
      </c>
      <c r="F15" s="7">
        <f>IF(A15="","",見積入力!F17)</f>
        <v>15000</v>
      </c>
      <c r="G15" s="7">
        <f>IF(A15="","",見積入力!H17)</f>
        <v>60000</v>
      </c>
      <c r="H15" s="7">
        <f ca="1">IF(OR(A15="",計算!B10&lt;&gt;"OK"),"",G15-I15)</f>
        <v>0</v>
      </c>
      <c r="I15" s="7">
        <f ca="1">IF(A15="","",計算!H17)</f>
        <v>60000</v>
      </c>
      <c r="J15" s="17">
        <f>IF(A15="","",見積入力!G17)</f>
        <v>0.1</v>
      </c>
      <c r="K15" s="1"/>
    </row>
    <row r="16" spans="1:11" ht="29.1" customHeight="1">
      <c r="A16" s="1" t="str">
        <f>IF(計算!A18="","",3)</f>
        <v/>
      </c>
      <c r="B16" s="16" t="str">
        <f>IF(A16="","",見積入力!B18)</f>
        <v/>
      </c>
      <c r="C16" s="16" t="str">
        <f>IF(A16="","",見積入力!C18)</f>
        <v/>
      </c>
      <c r="D16" s="1" t="str">
        <f>IF(A16="","",見積入力!D18)</f>
        <v/>
      </c>
      <c r="E16" s="1" t="str">
        <f>IF(A16="","",見積入力!E18)</f>
        <v/>
      </c>
      <c r="F16" s="7" t="str">
        <f>IF(A16="","",見積入力!F18)</f>
        <v/>
      </c>
      <c r="G16" s="7" t="str">
        <f>IF(A16="","",見積入力!H18)</f>
        <v/>
      </c>
      <c r="H16" s="7" t="str">
        <f ca="1">IF(OR(A16="",計算!B10&lt;&gt;"OK"),"",G16-I16)</f>
        <v/>
      </c>
      <c r="I16" s="7" t="str">
        <f>IF(A16="","",計算!H18)</f>
        <v/>
      </c>
      <c r="J16" s="17" t="str">
        <f>IF(A16="","",見積入力!G18)</f>
        <v/>
      </c>
      <c r="K16" s="1"/>
    </row>
    <row r="17" spans="1:11" ht="29.1" customHeight="1">
      <c r="A17" s="1" t="str">
        <f>IF(計算!A19="","",4)</f>
        <v/>
      </c>
      <c r="B17" s="16" t="str">
        <f>IF(A17="","",見積入力!B19)</f>
        <v/>
      </c>
      <c r="C17" s="16" t="str">
        <f>IF(A17="","",見積入力!C19)</f>
        <v/>
      </c>
      <c r="D17" s="1" t="str">
        <f>IF(A17="","",見積入力!D19)</f>
        <v/>
      </c>
      <c r="E17" s="1" t="str">
        <f>IF(A17="","",見積入力!E19)</f>
        <v/>
      </c>
      <c r="F17" s="7" t="str">
        <f>IF(A17="","",見積入力!F19)</f>
        <v/>
      </c>
      <c r="G17" s="7" t="str">
        <f>IF(A17="","",見積入力!H19)</f>
        <v/>
      </c>
      <c r="H17" s="7" t="str">
        <f ca="1">IF(OR(A17="",計算!B10&lt;&gt;"OK"),"",G17-I17)</f>
        <v/>
      </c>
      <c r="I17" s="7" t="str">
        <f>IF(A17="","",計算!H19)</f>
        <v/>
      </c>
      <c r="J17" s="17" t="str">
        <f>IF(A17="","",見積入力!G19)</f>
        <v/>
      </c>
      <c r="K17" s="1"/>
    </row>
    <row r="18" spans="1:11" ht="29.1" customHeight="1">
      <c r="A18" s="1" t="str">
        <f>IF(計算!A20="","",5)</f>
        <v/>
      </c>
      <c r="B18" s="16" t="str">
        <f>IF(A18="","",見積入力!B20)</f>
        <v/>
      </c>
      <c r="C18" s="16" t="str">
        <f>IF(A18="","",見積入力!C20)</f>
        <v/>
      </c>
      <c r="D18" s="1" t="str">
        <f>IF(A18="","",見積入力!D20)</f>
        <v/>
      </c>
      <c r="E18" s="1" t="str">
        <f>IF(A18="","",見積入力!E20)</f>
        <v/>
      </c>
      <c r="F18" s="7" t="str">
        <f>IF(A18="","",見積入力!F20)</f>
        <v/>
      </c>
      <c r="G18" s="7" t="str">
        <f>IF(A18="","",見積入力!H20)</f>
        <v/>
      </c>
      <c r="H18" s="7" t="str">
        <f ca="1">IF(OR(A18="",計算!B10&lt;&gt;"OK"),"",G18-I18)</f>
        <v/>
      </c>
      <c r="I18" s="7" t="str">
        <f>IF(A18="","",計算!H20)</f>
        <v/>
      </c>
      <c r="J18" s="17" t="str">
        <f>IF(A18="","",見積入力!G20)</f>
        <v/>
      </c>
      <c r="K18" s="1"/>
    </row>
    <row r="19" spans="1:11" ht="29.1" customHeight="1">
      <c r="A19" s="1" t="str">
        <f>IF(計算!A21="","",6)</f>
        <v/>
      </c>
      <c r="B19" s="16" t="str">
        <f>IF(A19="","",見積入力!B21)</f>
        <v/>
      </c>
      <c r="C19" s="16" t="str">
        <f>IF(A19="","",見積入力!C21)</f>
        <v/>
      </c>
      <c r="D19" s="1" t="str">
        <f>IF(A19="","",見積入力!D21)</f>
        <v/>
      </c>
      <c r="E19" s="1" t="str">
        <f>IF(A19="","",見積入力!E21)</f>
        <v/>
      </c>
      <c r="F19" s="7" t="str">
        <f>IF(A19="","",見積入力!F21)</f>
        <v/>
      </c>
      <c r="G19" s="7" t="str">
        <f>IF(A19="","",見積入力!H21)</f>
        <v/>
      </c>
      <c r="H19" s="7" t="str">
        <f ca="1">IF(OR(A19="",計算!B10&lt;&gt;"OK"),"",G19-I19)</f>
        <v/>
      </c>
      <c r="I19" s="7" t="str">
        <f>IF(A19="","",計算!H21)</f>
        <v/>
      </c>
      <c r="J19" s="17" t="str">
        <f>IF(A19="","",見積入力!G21)</f>
        <v/>
      </c>
      <c r="K19" s="1"/>
    </row>
    <row r="20" spans="1:11" ht="29.1" customHeight="1">
      <c r="A20" s="1" t="str">
        <f>IF(計算!A22="","",7)</f>
        <v/>
      </c>
      <c r="B20" s="16" t="str">
        <f>IF(A20="","",見積入力!B22)</f>
        <v/>
      </c>
      <c r="C20" s="16" t="str">
        <f>IF(A20="","",見積入力!C22)</f>
        <v/>
      </c>
      <c r="D20" s="1" t="str">
        <f>IF(A20="","",見積入力!D22)</f>
        <v/>
      </c>
      <c r="E20" s="1" t="str">
        <f>IF(A20="","",見積入力!E22)</f>
        <v/>
      </c>
      <c r="F20" s="7" t="str">
        <f>IF(A20="","",見積入力!F22)</f>
        <v/>
      </c>
      <c r="G20" s="7" t="str">
        <f>IF(A20="","",見積入力!H22)</f>
        <v/>
      </c>
      <c r="H20" s="7" t="str">
        <f ca="1">IF(OR(A20="",計算!B10&lt;&gt;"OK"),"",G20-I20)</f>
        <v/>
      </c>
      <c r="I20" s="7" t="str">
        <f>IF(A20="","",計算!H22)</f>
        <v/>
      </c>
      <c r="J20" s="17" t="str">
        <f>IF(A20="","",見積入力!G22)</f>
        <v/>
      </c>
      <c r="K20" s="1"/>
    </row>
    <row r="21" spans="1:11" ht="29.1" customHeight="1">
      <c r="A21" s="1" t="str">
        <f>IF(計算!A23="","",8)</f>
        <v/>
      </c>
      <c r="B21" s="16" t="str">
        <f>IF(A21="","",見積入力!B23)</f>
        <v/>
      </c>
      <c r="C21" s="16" t="str">
        <f>IF(A21="","",見積入力!C23)</f>
        <v/>
      </c>
      <c r="D21" s="1" t="str">
        <f>IF(A21="","",見積入力!D23)</f>
        <v/>
      </c>
      <c r="E21" s="1" t="str">
        <f>IF(A21="","",見積入力!E23)</f>
        <v/>
      </c>
      <c r="F21" s="7" t="str">
        <f>IF(A21="","",見積入力!F23)</f>
        <v/>
      </c>
      <c r="G21" s="7" t="str">
        <f>IF(A21="","",見積入力!H23)</f>
        <v/>
      </c>
      <c r="H21" s="7" t="str">
        <f ca="1">IF(OR(A21="",計算!B10&lt;&gt;"OK"),"",G21-I21)</f>
        <v/>
      </c>
      <c r="I21" s="7" t="str">
        <f>IF(A21="","",計算!H23)</f>
        <v/>
      </c>
      <c r="J21" s="17" t="str">
        <f>IF(A21="","",見積入力!G23)</f>
        <v/>
      </c>
      <c r="K21" s="1"/>
    </row>
    <row r="22" spans="1:11" ht="29.1" customHeight="1">
      <c r="A22" s="1" t="str">
        <f>IF(計算!A24="","",9)</f>
        <v/>
      </c>
      <c r="B22" s="16" t="str">
        <f>IF(A22="","",見積入力!B24)</f>
        <v/>
      </c>
      <c r="C22" s="16" t="str">
        <f>IF(A22="","",見積入力!C24)</f>
        <v/>
      </c>
      <c r="D22" s="1" t="str">
        <f>IF(A22="","",見積入力!D24)</f>
        <v/>
      </c>
      <c r="E22" s="1" t="str">
        <f>IF(A22="","",見積入力!E24)</f>
        <v/>
      </c>
      <c r="F22" s="7" t="str">
        <f>IF(A22="","",見積入力!F24)</f>
        <v/>
      </c>
      <c r="G22" s="7" t="str">
        <f>IF(A22="","",見積入力!H24)</f>
        <v/>
      </c>
      <c r="H22" s="7" t="str">
        <f ca="1">IF(OR(A22="",計算!B10&lt;&gt;"OK"),"",G22-I22)</f>
        <v/>
      </c>
      <c r="I22" s="7" t="str">
        <f>IF(A22="","",計算!H24)</f>
        <v/>
      </c>
      <c r="J22" s="17" t="str">
        <f>IF(A22="","",見積入力!G24)</f>
        <v/>
      </c>
      <c r="K22" s="1"/>
    </row>
    <row r="23" spans="1:11" ht="29.1" customHeight="1">
      <c r="A23" s="1" t="str">
        <f>IF(計算!A25="","",10)</f>
        <v/>
      </c>
      <c r="B23" s="16" t="str">
        <f>IF(A23="","",見積入力!B25)</f>
        <v/>
      </c>
      <c r="C23" s="16" t="str">
        <f>IF(A23="","",見積入力!C25)</f>
        <v/>
      </c>
      <c r="D23" s="1" t="str">
        <f>IF(A23="","",見積入力!D25)</f>
        <v/>
      </c>
      <c r="E23" s="1" t="str">
        <f>IF(A23="","",見積入力!E25)</f>
        <v/>
      </c>
      <c r="F23" s="7" t="str">
        <f>IF(A23="","",見積入力!F25)</f>
        <v/>
      </c>
      <c r="G23" s="7" t="str">
        <f>IF(A23="","",見積入力!H25)</f>
        <v/>
      </c>
      <c r="H23" s="7" t="str">
        <f ca="1">IF(OR(A23="",計算!B10&lt;&gt;"OK"),"",G23-I23)</f>
        <v/>
      </c>
      <c r="I23" s="7" t="str">
        <f>IF(A23="","",計算!H25)</f>
        <v/>
      </c>
      <c r="J23" s="17" t="str">
        <f>IF(A23="","",見積入力!G25)</f>
        <v/>
      </c>
      <c r="K23" s="1"/>
    </row>
    <row r="24" spans="1:11" ht="24" customHeight="1">
      <c r="A24" s="1"/>
      <c r="B24" s="1"/>
      <c r="C24" s="1"/>
      <c r="D24" s="1"/>
      <c r="E24" s="1"/>
      <c r="F24" s="7"/>
      <c r="G24" s="7"/>
      <c r="H24" s="7"/>
      <c r="I24" s="7"/>
      <c r="J24" s="1"/>
      <c r="K24" s="1"/>
    </row>
    <row r="25" spans="1:11" ht="24" customHeight="1">
      <c r="A25" s="28" t="str">
        <f>"納期・支払条件："&amp;見積入力!B11</f>
        <v>納期・支払条件：納期・支払条件を入力</v>
      </c>
      <c r="B25" s="28"/>
      <c r="C25" s="28"/>
      <c r="D25" s="28"/>
      <c r="E25" s="28"/>
      <c r="F25" s="7"/>
      <c r="G25" s="29" t="s">
        <v>34</v>
      </c>
      <c r="H25" s="29"/>
      <c r="I25" s="29">
        <f ca="1">IF(計算!B10="OK",計算!B36,"")</f>
        <v>160000</v>
      </c>
      <c r="J25" s="23"/>
      <c r="K25" s="1"/>
    </row>
    <row r="26" spans="1:11" ht="24" customHeight="1">
      <c r="A26" s="28"/>
      <c r="B26" s="28"/>
      <c r="C26" s="28"/>
      <c r="D26" s="28"/>
      <c r="E26" s="28"/>
      <c r="F26" s="7"/>
      <c r="G26" s="29" t="s">
        <v>35</v>
      </c>
      <c r="H26" s="29"/>
      <c r="I26" s="29">
        <f ca="1">IF(計算!B10="OK",SUMIFS(計算!H16:H25,計算!I16:I25,0.1),"")</f>
        <v>160000</v>
      </c>
      <c r="J26" s="23"/>
      <c r="K26" s="1"/>
    </row>
    <row r="27" spans="1:11" ht="24" customHeight="1">
      <c r="A27" s="16"/>
      <c r="B27" s="16"/>
      <c r="C27" s="16"/>
      <c r="D27" s="16"/>
      <c r="E27" s="16"/>
      <c r="F27" s="7"/>
      <c r="G27" s="29" t="s">
        <v>36</v>
      </c>
      <c r="H27" s="29"/>
      <c r="I27" s="29">
        <f ca="1">IF(計算!B10="OK",計算!B37,"")</f>
        <v>16000</v>
      </c>
      <c r="J27" s="23"/>
      <c r="K27" s="1"/>
    </row>
    <row r="28" spans="1:11" ht="24" customHeight="1">
      <c r="A28" s="28" t="str">
        <f>"備考："&amp;見積入力!B12</f>
        <v>備考：試作品の架空データです</v>
      </c>
      <c r="B28" s="28"/>
      <c r="C28" s="28"/>
      <c r="D28" s="28"/>
      <c r="E28" s="28"/>
      <c r="F28" s="7"/>
      <c r="G28" s="29" t="s">
        <v>37</v>
      </c>
      <c r="H28" s="29"/>
      <c r="I28" s="29">
        <f ca="1">IF(計算!B10="OK",SUMIFS(計算!H16:H25,計算!I16:I25,0.08),"")</f>
        <v>0</v>
      </c>
      <c r="J28" s="23"/>
      <c r="K28" s="1"/>
    </row>
    <row r="29" spans="1:11" ht="24" customHeight="1">
      <c r="A29" s="28"/>
      <c r="B29" s="28"/>
      <c r="C29" s="28"/>
      <c r="D29" s="28"/>
      <c r="E29" s="28"/>
      <c r="F29" s="7"/>
      <c r="G29" s="29" t="s">
        <v>38</v>
      </c>
      <c r="H29" s="29"/>
      <c r="I29" s="29">
        <f ca="1">IF(計算!B10="OK",計算!B38,"")</f>
        <v>0</v>
      </c>
      <c r="J29" s="23"/>
      <c r="K29" s="1"/>
    </row>
    <row r="30" spans="1:11" ht="24" customHeight="1">
      <c r="A30" s="28"/>
      <c r="B30" s="28"/>
      <c r="C30" s="28"/>
      <c r="D30" s="28"/>
      <c r="E30" s="28"/>
      <c r="F30" s="7"/>
      <c r="G30" s="29" t="s">
        <v>39</v>
      </c>
      <c r="H30" s="29"/>
      <c r="I30" s="29">
        <f ca="1">IF(計算!B10="OK",計算!B39,"")</f>
        <v>176000</v>
      </c>
      <c r="J30" s="23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23" t="str">
        <f ca="1">IF(計算!B10&lt;&gt;"OK","発行不可："&amp;計算!B10,IF(OR(見積入力!B5="",見積入力!B6="",見積入力!B7="",設定!B11=""),"宛先・件名・番号・自社名を確認",""))</f>
        <v/>
      </c>
      <c r="B32" s="23"/>
      <c r="C32" s="23"/>
      <c r="D32" s="23"/>
      <c r="E32" s="23"/>
      <c r="F32" s="23"/>
      <c r="G32" s="23"/>
      <c r="H32" s="23"/>
      <c r="I32" s="23"/>
      <c r="J32" s="23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32.1" customHeight="1">
      <c r="A34" s="24" t="s">
        <v>40</v>
      </c>
      <c r="B34" s="24"/>
      <c r="C34" s="24"/>
      <c r="D34" s="24"/>
      <c r="E34" s="24"/>
      <c r="F34" s="24"/>
      <c r="G34" s="24"/>
      <c r="H34" s="24"/>
      <c r="I34" s="24"/>
      <c r="J34" s="24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26">
    <mergeCell ref="A2:J2"/>
    <mergeCell ref="A4:F4"/>
    <mergeCell ref="G4:J4"/>
    <mergeCell ref="G5:J5"/>
    <mergeCell ref="G6:J6"/>
    <mergeCell ref="G7:J7"/>
    <mergeCell ref="A6:F6"/>
    <mergeCell ref="C8:F9"/>
    <mergeCell ref="G9:J9"/>
    <mergeCell ref="I25:J25"/>
    <mergeCell ref="A25:E26"/>
    <mergeCell ref="A8:B9"/>
    <mergeCell ref="A28:E30"/>
    <mergeCell ref="A32:J32"/>
    <mergeCell ref="A34:J34"/>
    <mergeCell ref="G25:H25"/>
    <mergeCell ref="G26:H26"/>
    <mergeCell ref="G27:H27"/>
    <mergeCell ref="G28:H28"/>
    <mergeCell ref="G29:H29"/>
    <mergeCell ref="G30:H30"/>
    <mergeCell ref="I26:J26"/>
    <mergeCell ref="I27:J27"/>
    <mergeCell ref="I28:J28"/>
    <mergeCell ref="I29:J29"/>
    <mergeCell ref="I30:J30"/>
  </mergeCells>
  <phoneticPr fontId="13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25" t="s">
        <v>41</v>
      </c>
      <c r="B2" s="25"/>
      <c r="C2" s="25"/>
      <c r="D2" s="25"/>
      <c r="E2" s="25"/>
      <c r="F2" s="25"/>
      <c r="G2" s="25"/>
      <c r="H2" s="25"/>
      <c r="I2" s="25"/>
      <c r="J2" s="25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42</v>
      </c>
      <c r="B5" s="31" t="s">
        <v>43</v>
      </c>
      <c r="C5" s="31"/>
      <c r="D5" s="31"/>
      <c r="E5" s="31"/>
      <c r="F5" s="31"/>
      <c r="G5" s="1"/>
      <c r="H5" s="1"/>
      <c r="I5" s="1"/>
      <c r="J5" s="1"/>
      <c r="K5" s="1"/>
    </row>
    <row r="6" spans="1:11" ht="24" customHeight="1">
      <c r="A6" s="1" t="s">
        <v>44</v>
      </c>
      <c r="B6" s="31" t="s">
        <v>45</v>
      </c>
      <c r="C6" s="31"/>
      <c r="D6" s="31"/>
      <c r="E6" s="31"/>
      <c r="F6" s="31"/>
      <c r="G6" s="1"/>
      <c r="H6" s="1"/>
      <c r="I6" s="1"/>
      <c r="J6" s="1"/>
      <c r="K6" s="1"/>
    </row>
    <row r="7" spans="1:11" ht="24" customHeight="1">
      <c r="A7" s="1" t="s">
        <v>46</v>
      </c>
      <c r="B7" s="31" t="s">
        <v>47</v>
      </c>
      <c r="C7" s="31"/>
      <c r="D7" s="31"/>
      <c r="E7" s="31"/>
      <c r="F7" s="31"/>
      <c r="G7" s="1"/>
      <c r="H7" s="1"/>
      <c r="I7" s="1"/>
      <c r="J7" s="1"/>
      <c r="K7" s="1"/>
    </row>
    <row r="8" spans="1:11" ht="24" customHeight="1">
      <c r="A8" s="1" t="s">
        <v>48</v>
      </c>
      <c r="B8" s="4">
        <v>0</v>
      </c>
      <c r="C8" s="3"/>
      <c r="D8" s="3"/>
      <c r="E8" s="3"/>
      <c r="F8" s="3"/>
      <c r="G8" s="1"/>
      <c r="H8" s="1"/>
      <c r="I8" s="1"/>
      <c r="J8" s="1"/>
      <c r="K8" s="1"/>
    </row>
    <row r="9" spans="1:11" ht="24" customHeight="1">
      <c r="A9" s="1" t="s">
        <v>24</v>
      </c>
      <c r="B9" s="5">
        <v>46315</v>
      </c>
      <c r="C9" s="3"/>
      <c r="D9" s="3"/>
      <c r="E9" s="3"/>
      <c r="F9" s="3"/>
      <c r="G9" s="1"/>
      <c r="H9" s="1"/>
      <c r="I9" s="1"/>
      <c r="J9" s="1"/>
      <c r="K9" s="1"/>
    </row>
    <row r="10" spans="1:11" ht="24" customHeight="1">
      <c r="A10" s="1" t="s">
        <v>49</v>
      </c>
      <c r="B10" s="31" t="s">
        <v>50</v>
      </c>
      <c r="C10" s="31"/>
      <c r="D10" s="31"/>
      <c r="E10" s="31"/>
      <c r="F10" s="31"/>
      <c r="G10" s="1"/>
      <c r="H10" s="1"/>
      <c r="I10" s="1"/>
      <c r="J10" s="1"/>
      <c r="K10" s="1"/>
    </row>
    <row r="11" spans="1:11" ht="24" customHeight="1">
      <c r="A11" s="1" t="s">
        <v>51</v>
      </c>
      <c r="B11" s="31" t="s">
        <v>52</v>
      </c>
      <c r="C11" s="31"/>
      <c r="D11" s="31"/>
      <c r="E11" s="31"/>
      <c r="F11" s="31"/>
      <c r="G11" s="1"/>
      <c r="H11" s="1"/>
      <c r="I11" s="1"/>
      <c r="J11" s="1"/>
      <c r="K11" s="1"/>
    </row>
    <row r="12" spans="1:11" ht="42" customHeight="1">
      <c r="A12" s="1" t="s">
        <v>53</v>
      </c>
      <c r="B12" s="32" t="s">
        <v>244</v>
      </c>
      <c r="C12" s="32"/>
      <c r="D12" s="32"/>
      <c r="E12" s="32"/>
      <c r="F12" s="32"/>
      <c r="G12" s="1"/>
      <c r="H12" s="1"/>
      <c r="I12" s="1"/>
      <c r="J12" s="1"/>
      <c r="K12" s="1"/>
    </row>
    <row r="13" spans="1:11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0" customHeight="1">
      <c r="A15" s="2" t="s">
        <v>15</v>
      </c>
      <c r="B15" s="2" t="s">
        <v>16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33</v>
      </c>
      <c r="H15" s="2" t="s">
        <v>32</v>
      </c>
      <c r="I15" s="2" t="s">
        <v>54</v>
      </c>
      <c r="J15" s="1"/>
      <c r="K15" s="1"/>
    </row>
    <row r="16" spans="1:11" ht="29.1" customHeight="1">
      <c r="A16" s="3" t="s">
        <v>55</v>
      </c>
      <c r="B16" s="3" t="s">
        <v>56</v>
      </c>
      <c r="C16" s="3" t="s">
        <v>57</v>
      </c>
      <c r="D16" s="3">
        <v>2</v>
      </c>
      <c r="E16" s="3" t="s">
        <v>58</v>
      </c>
      <c r="F16" s="6">
        <v>50000</v>
      </c>
      <c r="G16" s="8">
        <v>0.1</v>
      </c>
      <c r="H16" s="7">
        <f t="shared" ref="H16:H25" si="0">IF(I16="OK",ROUND(D16*F16,0),"")</f>
        <v>100000</v>
      </c>
      <c r="I16" s="16" t="str">
        <f t="shared" ref="I16:I25" si="1">IF(OR(A16="案件共通",ISNUMBER(SEARCH("~*",A16)),ISNUMBER(SEARCH("~?",A16)),ISNUMBER(SEARCH("~~",A16))),"IDに予約語・特殊文字不可",IF(COUNTA(A16:G16)=0,"",IF(OR(A16="",B16="",E16=""),"必須欄不足",IF(COUNTIFS($A$16:$A$25,A16)&lt;&gt;1,"ID重複",IF(OR(NOT(ISNUMBER(D16)),NOT(ISNUMBER(F16)),NOT(ISNUMBER(G16))),"数値を入力",IF(OR(D16&lt;=0,F16&lt;0,AND(G16&lt;&gt;0,G16&lt;&gt;0.08,G16&lt;&gt;0.1)),"数量・価格・税率確認","OK"))))))</f>
        <v>OK</v>
      </c>
      <c r="J16" s="1"/>
      <c r="K16" s="1"/>
    </row>
    <row r="17" spans="1:11" ht="29.1" customHeight="1">
      <c r="A17" s="3" t="s">
        <v>59</v>
      </c>
      <c r="B17" s="3" t="s">
        <v>60</v>
      </c>
      <c r="C17" s="3" t="s">
        <v>57</v>
      </c>
      <c r="D17" s="3">
        <v>4</v>
      </c>
      <c r="E17" s="3" t="s">
        <v>61</v>
      </c>
      <c r="F17" s="6">
        <v>15000</v>
      </c>
      <c r="G17" s="8">
        <v>0.1</v>
      </c>
      <c r="H17" s="7">
        <f t="shared" si="0"/>
        <v>60000</v>
      </c>
      <c r="I17" s="16" t="str">
        <f t="shared" si="1"/>
        <v>OK</v>
      </c>
      <c r="J17" s="1"/>
      <c r="K17" s="1"/>
    </row>
    <row r="18" spans="1:11" ht="29.1" customHeight="1">
      <c r="A18" s="3"/>
      <c r="B18" s="3"/>
      <c r="C18" s="3"/>
      <c r="D18" s="3"/>
      <c r="E18" s="3"/>
      <c r="F18" s="6"/>
      <c r="G18" s="8"/>
      <c r="H18" s="7" t="str">
        <f t="shared" si="0"/>
        <v/>
      </c>
      <c r="I18" s="16" t="str">
        <f t="shared" si="1"/>
        <v/>
      </c>
      <c r="J18" s="1"/>
      <c r="K18" s="1"/>
    </row>
    <row r="19" spans="1:11" ht="29.1" customHeight="1">
      <c r="A19" s="3"/>
      <c r="B19" s="3"/>
      <c r="C19" s="3"/>
      <c r="D19" s="3"/>
      <c r="E19" s="3"/>
      <c r="F19" s="6"/>
      <c r="G19" s="8"/>
      <c r="H19" s="7" t="str">
        <f t="shared" si="0"/>
        <v/>
      </c>
      <c r="I19" s="16" t="str">
        <f t="shared" si="1"/>
        <v/>
      </c>
      <c r="J19" s="1"/>
      <c r="K19" s="1"/>
    </row>
    <row r="20" spans="1:11" ht="29.1" customHeight="1">
      <c r="A20" s="3"/>
      <c r="B20" s="3"/>
      <c r="C20" s="3"/>
      <c r="D20" s="3"/>
      <c r="E20" s="3"/>
      <c r="F20" s="6"/>
      <c r="G20" s="8"/>
      <c r="H20" s="7" t="str">
        <f t="shared" si="0"/>
        <v/>
      </c>
      <c r="I20" s="16" t="str">
        <f t="shared" si="1"/>
        <v/>
      </c>
      <c r="J20" s="1"/>
      <c r="K20" s="1"/>
    </row>
    <row r="21" spans="1:11" ht="29.1" customHeight="1">
      <c r="A21" s="3"/>
      <c r="B21" s="3"/>
      <c r="C21" s="3"/>
      <c r="D21" s="3"/>
      <c r="E21" s="3"/>
      <c r="F21" s="6"/>
      <c r="G21" s="8"/>
      <c r="H21" s="7" t="str">
        <f t="shared" si="0"/>
        <v/>
      </c>
      <c r="I21" s="16" t="str">
        <f t="shared" si="1"/>
        <v/>
      </c>
      <c r="J21" s="1"/>
      <c r="K21" s="1"/>
    </row>
    <row r="22" spans="1:11" ht="29.1" customHeight="1">
      <c r="A22" s="3"/>
      <c r="B22" s="3"/>
      <c r="C22" s="3"/>
      <c r="D22" s="3"/>
      <c r="E22" s="3"/>
      <c r="F22" s="6"/>
      <c r="G22" s="8"/>
      <c r="H22" s="7" t="str">
        <f t="shared" si="0"/>
        <v/>
      </c>
      <c r="I22" s="16" t="str">
        <f t="shared" si="1"/>
        <v/>
      </c>
      <c r="J22" s="1"/>
      <c r="K22" s="1"/>
    </row>
    <row r="23" spans="1:11" ht="29.1" customHeight="1">
      <c r="A23" s="3"/>
      <c r="B23" s="3"/>
      <c r="C23" s="3"/>
      <c r="D23" s="3"/>
      <c r="E23" s="3"/>
      <c r="F23" s="6"/>
      <c r="G23" s="8"/>
      <c r="H23" s="7" t="str">
        <f t="shared" si="0"/>
        <v/>
      </c>
      <c r="I23" s="16" t="str">
        <f t="shared" si="1"/>
        <v/>
      </c>
      <c r="J23" s="1"/>
      <c r="K23" s="1"/>
    </row>
    <row r="24" spans="1:11" ht="29.1" customHeight="1">
      <c r="A24" s="3"/>
      <c r="B24" s="3"/>
      <c r="C24" s="3"/>
      <c r="D24" s="3"/>
      <c r="E24" s="3"/>
      <c r="F24" s="6"/>
      <c r="G24" s="8"/>
      <c r="H24" s="7" t="str">
        <f t="shared" si="0"/>
        <v/>
      </c>
      <c r="I24" s="16" t="str">
        <f t="shared" si="1"/>
        <v/>
      </c>
      <c r="J24" s="1"/>
      <c r="K24" s="1"/>
    </row>
    <row r="25" spans="1:11" ht="29.1" customHeight="1">
      <c r="A25" s="3"/>
      <c r="B25" s="3"/>
      <c r="C25" s="3"/>
      <c r="D25" s="3"/>
      <c r="E25" s="3"/>
      <c r="F25" s="6"/>
      <c r="G25" s="8"/>
      <c r="H25" s="7" t="str">
        <f t="shared" si="0"/>
        <v/>
      </c>
      <c r="I25" s="16" t="str">
        <f t="shared" si="1"/>
        <v/>
      </c>
      <c r="J25" s="1"/>
      <c r="K25" s="1"/>
    </row>
    <row r="26" spans="1:11" ht="24" customHeight="1">
      <c r="A26" s="1"/>
      <c r="B26" s="1"/>
      <c r="C26" s="1"/>
      <c r="D26" s="1"/>
      <c r="E26" s="1"/>
      <c r="F26" s="7"/>
      <c r="G26" s="7"/>
      <c r="H26" s="7"/>
      <c r="I26" s="1"/>
      <c r="J26" s="1"/>
      <c r="K26" s="1"/>
    </row>
    <row r="27" spans="1:11" ht="24" customHeight="1">
      <c r="A27" s="1"/>
      <c r="B27" s="1"/>
      <c r="C27" s="1"/>
      <c r="D27" s="1"/>
      <c r="E27" s="1"/>
      <c r="F27" s="7"/>
      <c r="G27" s="7"/>
      <c r="H27" s="7"/>
      <c r="I27" s="1"/>
      <c r="J27" s="1"/>
      <c r="K27" s="1"/>
    </row>
    <row r="28" spans="1:11" ht="24" customHeight="1">
      <c r="A28" s="1"/>
      <c r="B28" s="1"/>
      <c r="C28" s="1"/>
      <c r="D28" s="1"/>
      <c r="E28" s="1"/>
      <c r="F28" s="7"/>
      <c r="G28" s="7" t="s">
        <v>62</v>
      </c>
      <c r="H28" s="7"/>
      <c r="I28" s="1" t="str">
        <f>IF(COUNTIFS(I16:I25,"OK")=0,"見積明細なし",IF(SUMPRODUCT((I16:I25&lt;&gt;"")*(I16:I25&lt;&gt;"OK"))&gt;0,"見積明細を確認",IF(OR(NOT(ISNUMBER(B8)),B8&lt;0,B8&gt;1),"確定値引率を確認","OK")))</f>
        <v>OK</v>
      </c>
      <c r="J28" s="1"/>
      <c r="K28" s="1"/>
    </row>
    <row r="29" spans="1:11" ht="24" customHeight="1">
      <c r="A29" s="1"/>
      <c r="B29" s="1"/>
      <c r="C29" s="1"/>
      <c r="D29" s="1"/>
      <c r="E29" s="1"/>
      <c r="F29" s="7"/>
      <c r="G29" s="7" t="s">
        <v>63</v>
      </c>
      <c r="H29" s="7">
        <f>IF(I28="OK",SUM(H16:H25),"")</f>
        <v>160000</v>
      </c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32.1" customHeight="1">
      <c r="A31" s="24" t="s">
        <v>64</v>
      </c>
      <c r="B31" s="24"/>
      <c r="C31" s="24"/>
      <c r="D31" s="24"/>
      <c r="E31" s="24"/>
      <c r="F31" s="24"/>
      <c r="G31" s="24"/>
      <c r="H31" s="24"/>
      <c r="I31" s="24"/>
      <c r="J31" s="24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32.1" customHeight="1">
      <c r="A33" s="24" t="s">
        <v>65</v>
      </c>
      <c r="B33" s="24"/>
      <c r="C33" s="24"/>
      <c r="D33" s="24"/>
      <c r="E33" s="24"/>
      <c r="F33" s="24"/>
      <c r="G33" s="24"/>
      <c r="H33" s="24"/>
      <c r="I33" s="24"/>
      <c r="J33" s="24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9">
    <mergeCell ref="A2:J2"/>
    <mergeCell ref="A31:J31"/>
    <mergeCell ref="A33:J33"/>
    <mergeCell ref="B5:F5"/>
    <mergeCell ref="B6:F6"/>
    <mergeCell ref="B7:F7"/>
    <mergeCell ref="B10:F10"/>
    <mergeCell ref="B11:F11"/>
    <mergeCell ref="B12:F12"/>
  </mergeCells>
  <phoneticPr fontId="13"/>
  <conditionalFormatting sqref="I16:I25">
    <cfRule type="expression" dxfId="14" priority="1">
      <formula>AND(I16&lt;&gt;"",I16&lt;&gt;"OK")</formula>
    </cfRule>
  </conditionalFormatting>
  <dataValidations count="4">
    <dataValidation type="decimal" showErrorMessage="1" errorTitle="入力値を確認" error="指定された範囲・選択肢で入力してください。" sqref="B8" xr:uid="{00000000-0002-0000-0200-000000000000}">
      <formula1>0</formula1>
      <formula2>1</formula2>
    </dataValidation>
    <dataValidation type="decimal" showErrorMessage="1" errorTitle="入力値を確認" error="指定された範囲・選択肢で入力してください。" sqref="D16:D25" xr:uid="{00000000-0002-0000-0200-000001000000}">
      <formula1>0.000001</formula1>
      <formula2>1000000000</formula2>
    </dataValidation>
    <dataValidation type="decimal" showErrorMessage="1" errorTitle="入力値を確認" error="指定された範囲・選択肢で入力してください。" sqref="F16:F25" xr:uid="{00000000-0002-0000-0200-000002000000}">
      <formula1>0</formula1>
      <formula2>1000000000000</formula2>
    </dataValidation>
    <dataValidation type="list" showErrorMessage="1" errorTitle="入力値を確認" error="指定された範囲・選択肢で入力してください。" sqref="G16:G25" xr:uid="{00000000-0002-0000-0200-000003000000}">
      <formula1>"0,0.08,0.1"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7988A"/>
  </sheetPr>
  <dimension ref="A1:N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  <col min="12" max="14" width="18" customWidth="1"/>
  </cols>
  <sheetData>
    <row r="1" spans="1:14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42" customHeight="1">
      <c r="A2" s="25" t="s">
        <v>66</v>
      </c>
      <c r="B2" s="25"/>
      <c r="C2" s="25"/>
      <c r="D2" s="25"/>
      <c r="E2" s="25"/>
      <c r="F2" s="25"/>
      <c r="G2" s="25"/>
      <c r="H2" s="25"/>
      <c r="I2" s="25"/>
      <c r="J2" s="25"/>
      <c r="K2" s="1"/>
    </row>
    <row r="3" spans="1:14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ht="24" customHeight="1">
      <c r="A4" s="1" t="s">
        <v>67</v>
      </c>
      <c r="B4" s="1" t="str">
        <f>採算シミュレーション!B5</f>
        <v>木工所</v>
      </c>
      <c r="C4" s="1"/>
      <c r="D4" s="23" t="str">
        <f>IF(B4="木工所","この原価を採算計算に使用中","この原価は現在の採算計算に使われていません")</f>
        <v>この原価を採算計算に使用中</v>
      </c>
      <c r="E4" s="23"/>
      <c r="F4" s="23"/>
      <c r="G4" s="23"/>
      <c r="H4" s="23"/>
      <c r="I4" s="23"/>
      <c r="J4" s="23"/>
      <c r="K4" s="1"/>
      <c r="L4" s="10" t="s">
        <v>68</v>
      </c>
      <c r="M4" s="10"/>
      <c r="N4" s="10"/>
    </row>
    <row r="5" spans="1:14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0" t="s">
        <v>69</v>
      </c>
      <c r="M5" s="10" t="str">
        <f>IF(COUNTIFS(H16:H55,"OK")=0,"原価明細なし",IF(SUMPRODUCT((H16:H55&lt;&gt;"")*(H16:H55&lt;&gt;"OK"))&gt;0,"原価明細を確認",IF(AND(B11&lt;&gt;"計上済み",B11&lt;&gt;"単価に含む",B11&lt;&gt;"今回は未算入"),"共通経費の扱い確認","OK")))</f>
        <v>OK</v>
      </c>
      <c r="N5" s="10"/>
    </row>
    <row r="6" spans="1:14" ht="32.1" customHeight="1">
      <c r="A6" s="24" t="s">
        <v>70</v>
      </c>
      <c r="B6" s="33"/>
      <c r="C6" s="24"/>
      <c r="D6" s="24"/>
      <c r="E6" s="24"/>
      <c r="F6" s="24"/>
      <c r="G6" s="24"/>
      <c r="H6" s="24"/>
      <c r="I6" s="24"/>
      <c r="J6" s="24"/>
      <c r="K6" s="1"/>
      <c r="L6" s="10" t="s">
        <v>20</v>
      </c>
      <c r="M6" s="10">
        <f>SUMIFS(F16:F55,A16:A55,"案件共通")</f>
        <v>8000</v>
      </c>
      <c r="N6" s="10"/>
    </row>
    <row r="7" spans="1:14" ht="24" customHeight="1">
      <c r="A7" s="1"/>
      <c r="B7" s="13"/>
      <c r="C7" s="1"/>
      <c r="D7" s="1"/>
      <c r="E7" s="1"/>
      <c r="F7" s="1"/>
      <c r="G7" s="1"/>
      <c r="H7" s="1"/>
      <c r="I7" s="1"/>
      <c r="J7" s="1"/>
      <c r="K7" s="1"/>
      <c r="L7" s="10" t="s">
        <v>71</v>
      </c>
      <c r="M7" s="10" t="str">
        <f>B11</f>
        <v>今回は未算入</v>
      </c>
      <c r="N7" s="10"/>
    </row>
    <row r="8" spans="1:14" ht="32.1" customHeight="1">
      <c r="A8" s="24" t="s">
        <v>72</v>
      </c>
      <c r="B8" s="33"/>
      <c r="C8" s="24"/>
      <c r="D8" s="24"/>
      <c r="E8" s="24"/>
      <c r="F8" s="24"/>
      <c r="G8" s="24"/>
      <c r="H8" s="24"/>
      <c r="I8" s="24"/>
      <c r="J8" s="24"/>
      <c r="K8" s="1"/>
      <c r="L8" s="10"/>
      <c r="M8" s="10"/>
      <c r="N8" s="10"/>
    </row>
    <row r="9" spans="1:14" ht="24" customHeight="1">
      <c r="A9" s="1"/>
      <c r="B9" s="13"/>
      <c r="C9" s="1"/>
      <c r="D9" s="1"/>
      <c r="E9" s="1"/>
      <c r="F9" s="1"/>
      <c r="G9" s="1"/>
      <c r="H9" s="1"/>
      <c r="I9" s="1"/>
      <c r="J9" s="1"/>
      <c r="K9" s="1"/>
      <c r="L9" s="10"/>
      <c r="M9" s="10"/>
      <c r="N9" s="10"/>
    </row>
    <row r="10" spans="1:14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0"/>
      <c r="M10" s="10"/>
      <c r="N10" s="10"/>
    </row>
    <row r="11" spans="1:14" ht="24" customHeight="1">
      <c r="A11" s="1" t="s">
        <v>73</v>
      </c>
      <c r="B11" s="3" t="s">
        <v>74</v>
      </c>
      <c r="C11" s="1"/>
      <c r="D11" s="1"/>
      <c r="E11" s="1"/>
      <c r="F11" s="1"/>
      <c r="G11" s="1"/>
      <c r="H11" s="1"/>
      <c r="I11" s="1"/>
      <c r="J11" s="1"/>
      <c r="K11" s="1"/>
      <c r="L11" s="10"/>
      <c r="M11" s="10"/>
      <c r="N11" s="10"/>
    </row>
    <row r="12" spans="1:14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0"/>
      <c r="M12" s="10"/>
      <c r="N12" s="10"/>
    </row>
    <row r="13" spans="1:14" ht="32.1" customHeight="1">
      <c r="A13" s="24" t="s">
        <v>75</v>
      </c>
      <c r="B13" s="24"/>
      <c r="C13" s="24"/>
      <c r="D13" s="24"/>
      <c r="E13" s="24"/>
      <c r="F13" s="24"/>
      <c r="G13" s="24"/>
      <c r="H13" s="24"/>
      <c r="I13" s="24"/>
      <c r="J13" s="24"/>
      <c r="K13" s="1"/>
      <c r="L13" s="10"/>
      <c r="M13" s="10"/>
      <c r="N13" s="10"/>
    </row>
    <row r="14" spans="1:14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0"/>
      <c r="M14" s="10"/>
      <c r="N14" s="10"/>
    </row>
    <row r="15" spans="1:14" ht="30" customHeight="1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54</v>
      </c>
      <c r="I15" s="2" t="s">
        <v>83</v>
      </c>
      <c r="J15" s="2" t="s">
        <v>84</v>
      </c>
      <c r="K15" s="1" t="s">
        <v>85</v>
      </c>
      <c r="L15" s="11" t="s">
        <v>15</v>
      </c>
      <c r="M15" s="11" t="s">
        <v>17</v>
      </c>
      <c r="N15" s="11" t="s">
        <v>86</v>
      </c>
    </row>
    <row r="16" spans="1:14" ht="30" customHeight="1">
      <c r="A16" s="3" t="s">
        <v>55</v>
      </c>
      <c r="B16" s="3" t="s">
        <v>87</v>
      </c>
      <c r="C16" s="3" t="s">
        <v>88</v>
      </c>
      <c r="D16" s="12">
        <v>1</v>
      </c>
      <c r="E16" s="12">
        <v>15000</v>
      </c>
      <c r="F16" s="7">
        <f t="shared" ref="F16:F55" si="0">IF(H16="OK",ROUND(D16*K16*J16,0),"")</f>
        <v>30000</v>
      </c>
      <c r="G16" s="19" t="s">
        <v>89</v>
      </c>
      <c r="H16" s="16" t="str">
        <f>IF(COUNTA(A16:E16)+COUNTA(G16)+COUNTA(I16)=0,"",IF(OR(A16="",B16="",C16="",I16=""),"必須欄不足",IF(AND(A16&lt;&gt;"案件共通",COUNTIFS(見積入力!$A$16:$A$25,A16)&lt;&gt;1),"ID未登録・重複",IF(OR(AND(I16&lt;&gt;"数量連動",I16&lt;&gt;"一式"),AND(A16="案件共通",I16&lt;&gt;"一式")),"数量の扱い確認",IF(OR(NOT(ISNUMBER(D16)),NOT(ISNUMBER(K16)),AND(B16&lt;&gt;"生産原価",E16=""),D16="",NOT(ISNUMBER(J16))),"数値を入力",IF(OR(D16&lt;0,K16&lt;0,J16&lt;=0),"負数・数量確認","OK"))))))</f>
        <v>OK</v>
      </c>
      <c r="I16" s="3" t="s">
        <v>90</v>
      </c>
      <c r="J16" s="1">
        <f>IF(A16="","",IF(I16="一式",1,IFERROR(INDEX(見積入力!$D$16:$D$25,MATCH(A16,見積入力!$A$16:$A$25,0)),"ID未登録")))</f>
        <v>2</v>
      </c>
      <c r="K16" s="13">
        <f t="shared" ref="K16:K55" si="1">IF(A16="","",E16)</f>
        <v>15000</v>
      </c>
      <c r="L16" s="10" t="str">
        <f>IF(見積入力!A16="","",見積入力!A16)</f>
        <v>M001</v>
      </c>
      <c r="M16" s="10">
        <f t="shared" ref="M16:M25" si="2">IF(L16="","",SUMIFS($F$16:$F$55,$A$16:$A$55,L16))</f>
        <v>50000</v>
      </c>
      <c r="N16" s="10">
        <f t="shared" ref="N16:N25" si="3">IF(L16="","",COUNTIFS($A$16:$A$55,L16))</f>
        <v>2</v>
      </c>
    </row>
    <row r="17" spans="1:14" ht="30" customHeight="1">
      <c r="A17" s="3" t="s">
        <v>55</v>
      </c>
      <c r="B17" s="3" t="s">
        <v>91</v>
      </c>
      <c r="C17" s="3" t="s">
        <v>92</v>
      </c>
      <c r="D17" s="12">
        <v>10</v>
      </c>
      <c r="E17" s="12">
        <v>1000</v>
      </c>
      <c r="F17" s="7">
        <f t="shared" si="0"/>
        <v>20000</v>
      </c>
      <c r="G17" s="19" t="s">
        <v>93</v>
      </c>
      <c r="H17" s="16" t="str">
        <f>IF(COUNTA(A17:E17)+COUNTA(G17)+COUNTA(I17)=0,"",IF(OR(A17="",B17="",C17="",I17=""),"必須欄不足",IF(AND(A17&lt;&gt;"案件共通",COUNTIFS(見積入力!$A$16:$A$25,A17)&lt;&gt;1),"ID未登録・重複",IF(OR(AND(I17&lt;&gt;"数量連動",I17&lt;&gt;"一式"),AND(A17="案件共通",I17&lt;&gt;"一式")),"数量の扱い確認",IF(OR(NOT(ISNUMBER(D17)),NOT(ISNUMBER(K17)),AND(B17&lt;&gt;"生産原価",E17=""),D17="",NOT(ISNUMBER(J17))),"数値を入力",IF(OR(D17&lt;0,K17&lt;0,J17&lt;=0),"負数・数量確認","OK"))))))</f>
        <v>OK</v>
      </c>
      <c r="I17" s="3" t="s">
        <v>90</v>
      </c>
      <c r="J17" s="1">
        <f>IF(A17="","",IF(I17="一式",1,IFERROR(INDEX(見積入力!$D$16:$D$25,MATCH(A17,見積入力!$A$16:$A$25,0)),"ID未登録")))</f>
        <v>2</v>
      </c>
      <c r="K17" s="13">
        <f t="shared" si="1"/>
        <v>1000</v>
      </c>
      <c r="L17" s="10" t="str">
        <f>IF(見積入力!A17="","",見積入力!A17)</f>
        <v>M002</v>
      </c>
      <c r="M17" s="10">
        <f t="shared" si="2"/>
        <v>30000</v>
      </c>
      <c r="N17" s="10">
        <f t="shared" si="3"/>
        <v>2</v>
      </c>
    </row>
    <row r="18" spans="1:14" ht="30" customHeight="1">
      <c r="A18" s="3" t="s">
        <v>59</v>
      </c>
      <c r="B18" s="3" t="s">
        <v>87</v>
      </c>
      <c r="C18" s="3" t="s">
        <v>94</v>
      </c>
      <c r="D18" s="12">
        <v>1</v>
      </c>
      <c r="E18" s="12">
        <v>5000</v>
      </c>
      <c r="F18" s="7">
        <f t="shared" si="0"/>
        <v>20000</v>
      </c>
      <c r="G18" s="19" t="s">
        <v>95</v>
      </c>
      <c r="H18" s="16" t="str">
        <f>IF(COUNTA(A18:E18)+COUNTA(G18)+COUNTA(I18)=0,"",IF(OR(A18="",B18="",C18="",I18=""),"必須欄不足",IF(AND(A18&lt;&gt;"案件共通",COUNTIFS(見積入力!$A$16:$A$25,A18)&lt;&gt;1),"ID未登録・重複",IF(OR(AND(I18&lt;&gt;"数量連動",I18&lt;&gt;"一式"),AND(A18="案件共通",I18&lt;&gt;"一式")),"数量の扱い確認",IF(OR(NOT(ISNUMBER(D18)),NOT(ISNUMBER(K18)),AND(B18&lt;&gt;"生産原価",E18=""),D18="",NOT(ISNUMBER(J18))),"数値を入力",IF(OR(D18&lt;0,K18&lt;0,J18&lt;=0),"負数・数量確認","OK"))))))</f>
        <v>OK</v>
      </c>
      <c r="I18" s="3" t="s">
        <v>90</v>
      </c>
      <c r="J18" s="1">
        <f>IF(A18="","",IF(I18="一式",1,IFERROR(INDEX(見積入力!$D$16:$D$25,MATCH(A18,見積入力!$A$16:$A$25,0)),"ID未登録")))</f>
        <v>4</v>
      </c>
      <c r="K18" s="13">
        <f t="shared" si="1"/>
        <v>5000</v>
      </c>
      <c r="L18" s="10" t="str">
        <f>IF(見積入力!A18="","",見積入力!A18)</f>
        <v/>
      </c>
      <c r="M18" s="10" t="str">
        <f t="shared" si="2"/>
        <v/>
      </c>
      <c r="N18" s="10" t="str">
        <f t="shared" si="3"/>
        <v/>
      </c>
    </row>
    <row r="19" spans="1:14" ht="30" customHeight="1">
      <c r="A19" s="3" t="s">
        <v>59</v>
      </c>
      <c r="B19" s="3" t="s">
        <v>91</v>
      </c>
      <c r="C19" s="3" t="s">
        <v>96</v>
      </c>
      <c r="D19" s="12">
        <v>2.5</v>
      </c>
      <c r="E19" s="12">
        <v>1000</v>
      </c>
      <c r="F19" s="7">
        <f t="shared" si="0"/>
        <v>10000</v>
      </c>
      <c r="G19" s="19" t="s">
        <v>97</v>
      </c>
      <c r="H19" s="16" t="str">
        <f>IF(COUNTA(A19:E19)+COUNTA(G19)+COUNTA(I19)=0,"",IF(OR(A19="",B19="",C19="",I19=""),"必須欄不足",IF(AND(A19&lt;&gt;"案件共通",COUNTIFS(見積入力!$A$16:$A$25,A19)&lt;&gt;1),"ID未登録・重複",IF(OR(AND(I19&lt;&gt;"数量連動",I19&lt;&gt;"一式"),AND(A19="案件共通",I19&lt;&gt;"一式")),"数量の扱い確認",IF(OR(NOT(ISNUMBER(D19)),NOT(ISNUMBER(K19)),AND(B19&lt;&gt;"生産原価",E19=""),D19="",NOT(ISNUMBER(J19))),"数値を入力",IF(OR(D19&lt;0,K19&lt;0,J19&lt;=0),"負数・数量確認","OK"))))))</f>
        <v>OK</v>
      </c>
      <c r="I19" s="3" t="s">
        <v>90</v>
      </c>
      <c r="J19" s="1">
        <f>IF(A19="","",IF(I19="一式",1,IFERROR(INDEX(見積入力!$D$16:$D$25,MATCH(A19,見積入力!$A$16:$A$25,0)),"ID未登録")))</f>
        <v>4</v>
      </c>
      <c r="K19" s="13">
        <f t="shared" si="1"/>
        <v>1000</v>
      </c>
      <c r="L19" s="10" t="str">
        <f>IF(見積入力!A19="","",見積入力!A19)</f>
        <v/>
      </c>
      <c r="M19" s="10" t="str">
        <f t="shared" si="2"/>
        <v/>
      </c>
      <c r="N19" s="10" t="str">
        <f t="shared" si="3"/>
        <v/>
      </c>
    </row>
    <row r="20" spans="1:14" ht="30" customHeight="1">
      <c r="A20" s="3" t="s">
        <v>98</v>
      </c>
      <c r="B20" s="3" t="s">
        <v>99</v>
      </c>
      <c r="C20" s="3" t="s">
        <v>100</v>
      </c>
      <c r="D20" s="12">
        <v>1</v>
      </c>
      <c r="E20" s="12">
        <v>8000</v>
      </c>
      <c r="F20" s="7">
        <f t="shared" si="0"/>
        <v>8000</v>
      </c>
      <c r="G20" s="19" t="s">
        <v>101</v>
      </c>
      <c r="H20" s="16" t="str">
        <f>IF(COUNTA(A20:E20)+COUNTA(G20)+COUNTA(I20)=0,"",IF(OR(A20="",B20="",C20="",I20=""),"必須欄不足",IF(AND(A20&lt;&gt;"案件共通",COUNTIFS(見積入力!$A$16:$A$25,A20)&lt;&gt;1),"ID未登録・重複",IF(OR(AND(I20&lt;&gt;"数量連動",I20&lt;&gt;"一式"),AND(A20="案件共通",I20&lt;&gt;"一式")),"数量の扱い確認",IF(OR(NOT(ISNUMBER(D20)),NOT(ISNUMBER(K20)),AND(B20&lt;&gt;"生産原価",E20=""),D20="",NOT(ISNUMBER(J20))),"数値を入力",IF(OR(D20&lt;0,K20&lt;0,J20&lt;=0),"負数・数量確認","OK"))))))</f>
        <v>OK</v>
      </c>
      <c r="I20" s="3" t="s">
        <v>102</v>
      </c>
      <c r="J20" s="1">
        <f>IF(A20="","",IF(I20="一式",1,IFERROR(INDEX(見積入力!$D$16:$D$25,MATCH(A20,見積入力!$A$16:$A$25,0)),"ID未登録")))</f>
        <v>1</v>
      </c>
      <c r="K20" s="13">
        <f t="shared" si="1"/>
        <v>8000</v>
      </c>
      <c r="L20" s="10" t="str">
        <f>IF(見積入力!A20="","",見積入力!A20)</f>
        <v/>
      </c>
      <c r="M20" s="10" t="str">
        <f t="shared" si="2"/>
        <v/>
      </c>
      <c r="N20" s="10" t="str">
        <f t="shared" si="3"/>
        <v/>
      </c>
    </row>
    <row r="21" spans="1:14" ht="30" customHeight="1">
      <c r="A21" s="3"/>
      <c r="B21" s="3"/>
      <c r="C21" s="3"/>
      <c r="D21" s="12"/>
      <c r="E21" s="12"/>
      <c r="F21" s="7" t="str">
        <f t="shared" si="0"/>
        <v/>
      </c>
      <c r="G21" s="19"/>
      <c r="H21" s="16" t="str">
        <f>IF(COUNTA(A21:E21)+COUNTA(G21)+COUNTA(I21)=0,"",IF(OR(A21="",B21="",C21="",I21=""),"必須欄不足",IF(AND(A21&lt;&gt;"案件共通",COUNTIFS(見積入力!$A$16:$A$25,A21)&lt;&gt;1),"ID未登録・重複",IF(OR(AND(I21&lt;&gt;"数量連動",I21&lt;&gt;"一式"),AND(A21="案件共通",I21&lt;&gt;"一式")),"数量の扱い確認",IF(OR(NOT(ISNUMBER(D21)),NOT(ISNUMBER(K21)),AND(B21&lt;&gt;"生産原価",E21=""),D21="",NOT(ISNUMBER(J21))),"数値を入力",IF(OR(D21&lt;0,K21&lt;0,J21&lt;=0),"負数・数量確認","OK"))))))</f>
        <v/>
      </c>
      <c r="I21" s="3"/>
      <c r="J21" s="1" t="str">
        <f>IF(A21="","",IF(I21="一式",1,IFERROR(INDEX(見積入力!$D$16:$D$25,MATCH(A21,見積入力!$A$16:$A$25,0)),"ID未登録")))</f>
        <v/>
      </c>
      <c r="K21" s="13" t="str">
        <f t="shared" si="1"/>
        <v/>
      </c>
      <c r="L21" s="10" t="str">
        <f>IF(見積入力!A21="","",見積入力!A21)</f>
        <v/>
      </c>
      <c r="M21" s="10" t="str">
        <f t="shared" si="2"/>
        <v/>
      </c>
      <c r="N21" s="10" t="str">
        <f t="shared" si="3"/>
        <v/>
      </c>
    </row>
    <row r="22" spans="1:14" ht="30" customHeight="1">
      <c r="A22" s="3"/>
      <c r="B22" s="3"/>
      <c r="C22" s="3"/>
      <c r="D22" s="12"/>
      <c r="E22" s="12"/>
      <c r="F22" s="7" t="str">
        <f t="shared" si="0"/>
        <v/>
      </c>
      <c r="G22" s="19"/>
      <c r="H22" s="16" t="str">
        <f>IF(COUNTA(A22:E22)+COUNTA(G22)+COUNTA(I22)=0,"",IF(OR(A22="",B22="",C22="",I22=""),"必須欄不足",IF(AND(A22&lt;&gt;"案件共通",COUNTIFS(見積入力!$A$16:$A$25,A22)&lt;&gt;1),"ID未登録・重複",IF(OR(AND(I22&lt;&gt;"数量連動",I22&lt;&gt;"一式"),AND(A22="案件共通",I22&lt;&gt;"一式")),"数量の扱い確認",IF(OR(NOT(ISNUMBER(D22)),NOT(ISNUMBER(K22)),AND(B22&lt;&gt;"生産原価",E22=""),D22="",NOT(ISNUMBER(J22))),"数値を入力",IF(OR(D22&lt;0,K22&lt;0,J22&lt;=0),"負数・数量確認","OK"))))))</f>
        <v/>
      </c>
      <c r="I22" s="3"/>
      <c r="J22" s="1" t="str">
        <f>IF(A22="","",IF(I22="一式",1,IFERROR(INDEX(見積入力!$D$16:$D$25,MATCH(A22,見積入力!$A$16:$A$25,0)),"ID未登録")))</f>
        <v/>
      </c>
      <c r="K22" s="13" t="str">
        <f t="shared" si="1"/>
        <v/>
      </c>
      <c r="L22" s="10" t="str">
        <f>IF(見積入力!A22="","",見積入力!A22)</f>
        <v/>
      </c>
      <c r="M22" s="10" t="str">
        <f t="shared" si="2"/>
        <v/>
      </c>
      <c r="N22" s="10" t="str">
        <f t="shared" si="3"/>
        <v/>
      </c>
    </row>
    <row r="23" spans="1:14" ht="30" customHeight="1">
      <c r="A23" s="3"/>
      <c r="B23" s="3"/>
      <c r="C23" s="3"/>
      <c r="D23" s="12"/>
      <c r="E23" s="12"/>
      <c r="F23" s="7" t="str">
        <f t="shared" si="0"/>
        <v/>
      </c>
      <c r="G23" s="19"/>
      <c r="H23" s="16" t="str">
        <f>IF(COUNTA(A23:E23)+COUNTA(G23)+COUNTA(I23)=0,"",IF(OR(A23="",B23="",C23="",I23=""),"必須欄不足",IF(AND(A23&lt;&gt;"案件共通",COUNTIFS(見積入力!$A$16:$A$25,A23)&lt;&gt;1),"ID未登録・重複",IF(OR(AND(I23&lt;&gt;"数量連動",I23&lt;&gt;"一式"),AND(A23="案件共通",I23&lt;&gt;"一式")),"数量の扱い確認",IF(OR(NOT(ISNUMBER(D23)),NOT(ISNUMBER(K23)),AND(B23&lt;&gt;"生産原価",E23=""),D23="",NOT(ISNUMBER(J23))),"数値を入力",IF(OR(D23&lt;0,K23&lt;0,J23&lt;=0),"負数・数量確認","OK"))))))</f>
        <v/>
      </c>
      <c r="I23" s="3"/>
      <c r="J23" s="1" t="str">
        <f>IF(A23="","",IF(I23="一式",1,IFERROR(INDEX(見積入力!$D$16:$D$25,MATCH(A23,見積入力!$A$16:$A$25,0)),"ID未登録")))</f>
        <v/>
      </c>
      <c r="K23" s="13" t="str">
        <f t="shared" si="1"/>
        <v/>
      </c>
      <c r="L23" s="10" t="str">
        <f>IF(見積入力!A23="","",見積入力!A23)</f>
        <v/>
      </c>
      <c r="M23" s="10" t="str">
        <f t="shared" si="2"/>
        <v/>
      </c>
      <c r="N23" s="10" t="str">
        <f t="shared" si="3"/>
        <v/>
      </c>
    </row>
    <row r="24" spans="1:14" ht="30" customHeight="1">
      <c r="A24" s="3"/>
      <c r="B24" s="3"/>
      <c r="C24" s="3"/>
      <c r="D24" s="12"/>
      <c r="E24" s="12"/>
      <c r="F24" s="7" t="str">
        <f t="shared" si="0"/>
        <v/>
      </c>
      <c r="G24" s="19"/>
      <c r="H24" s="16" t="str">
        <f>IF(COUNTA(A24:E24)+COUNTA(G24)+COUNTA(I24)=0,"",IF(OR(A24="",B24="",C24="",I24=""),"必須欄不足",IF(AND(A24&lt;&gt;"案件共通",COUNTIFS(見積入力!$A$16:$A$25,A24)&lt;&gt;1),"ID未登録・重複",IF(OR(AND(I24&lt;&gt;"数量連動",I24&lt;&gt;"一式"),AND(A24="案件共通",I24&lt;&gt;"一式")),"数量の扱い確認",IF(OR(NOT(ISNUMBER(D24)),NOT(ISNUMBER(K24)),AND(B24&lt;&gt;"生産原価",E24=""),D24="",NOT(ISNUMBER(J24))),"数値を入力",IF(OR(D24&lt;0,K24&lt;0,J24&lt;=0),"負数・数量確認","OK"))))))</f>
        <v/>
      </c>
      <c r="I24" s="3"/>
      <c r="J24" s="1" t="str">
        <f>IF(A24="","",IF(I24="一式",1,IFERROR(INDEX(見積入力!$D$16:$D$25,MATCH(A24,見積入力!$A$16:$A$25,0)),"ID未登録")))</f>
        <v/>
      </c>
      <c r="K24" s="13" t="str">
        <f t="shared" si="1"/>
        <v/>
      </c>
      <c r="L24" s="10" t="str">
        <f>IF(見積入力!A24="","",見積入力!A24)</f>
        <v/>
      </c>
      <c r="M24" s="10" t="str">
        <f t="shared" si="2"/>
        <v/>
      </c>
      <c r="N24" s="10" t="str">
        <f t="shared" si="3"/>
        <v/>
      </c>
    </row>
    <row r="25" spans="1:14" ht="30" customHeight="1">
      <c r="A25" s="3"/>
      <c r="B25" s="3"/>
      <c r="C25" s="3"/>
      <c r="D25" s="12"/>
      <c r="E25" s="12"/>
      <c r="F25" s="7" t="str">
        <f t="shared" si="0"/>
        <v/>
      </c>
      <c r="G25" s="19"/>
      <c r="H25" s="16" t="str">
        <f>IF(COUNTA(A25:E25)+COUNTA(G25)+COUNTA(I25)=0,"",IF(OR(A25="",B25="",C25="",I25=""),"必須欄不足",IF(AND(A25&lt;&gt;"案件共通",COUNTIFS(見積入力!$A$16:$A$25,A25)&lt;&gt;1),"ID未登録・重複",IF(OR(AND(I25&lt;&gt;"数量連動",I25&lt;&gt;"一式"),AND(A25="案件共通",I25&lt;&gt;"一式")),"数量の扱い確認",IF(OR(NOT(ISNUMBER(D25)),NOT(ISNUMBER(K25)),AND(B25&lt;&gt;"生産原価",E25=""),D25="",NOT(ISNUMBER(J25))),"数値を入力",IF(OR(D25&lt;0,K25&lt;0,J25&lt;=0),"負数・数量確認","OK"))))))</f>
        <v/>
      </c>
      <c r="I25" s="3"/>
      <c r="J25" s="1" t="str">
        <f>IF(A25="","",IF(I25="一式",1,IFERROR(INDEX(見積入力!$D$16:$D$25,MATCH(A25,見積入力!$A$16:$A$25,0)),"ID未登録")))</f>
        <v/>
      </c>
      <c r="K25" s="13" t="str">
        <f t="shared" si="1"/>
        <v/>
      </c>
      <c r="L25" s="10" t="str">
        <f>IF(見積入力!A25="","",見積入力!A25)</f>
        <v/>
      </c>
      <c r="M25" s="10" t="str">
        <f t="shared" si="2"/>
        <v/>
      </c>
      <c r="N25" s="10" t="str">
        <f t="shared" si="3"/>
        <v/>
      </c>
    </row>
    <row r="26" spans="1:14" ht="30" customHeight="1">
      <c r="A26" s="3"/>
      <c r="B26" s="3"/>
      <c r="C26" s="3"/>
      <c r="D26" s="12"/>
      <c r="E26" s="12"/>
      <c r="F26" s="7" t="str">
        <f t="shared" si="0"/>
        <v/>
      </c>
      <c r="G26" s="19"/>
      <c r="H26" s="16" t="str">
        <f>IF(COUNTA(A26:E26)+COUNTA(G26)+COUNTA(I26)=0,"",IF(OR(A26="",B26="",C26="",I26=""),"必須欄不足",IF(AND(A26&lt;&gt;"案件共通",COUNTIFS(見積入力!$A$16:$A$25,A26)&lt;&gt;1),"ID未登録・重複",IF(OR(AND(I26&lt;&gt;"数量連動",I26&lt;&gt;"一式"),AND(A26="案件共通",I26&lt;&gt;"一式")),"数量の扱い確認",IF(OR(NOT(ISNUMBER(D26)),NOT(ISNUMBER(K26)),AND(B26&lt;&gt;"生産原価",E26=""),D26="",NOT(ISNUMBER(J26))),"数値を入力",IF(OR(D26&lt;0,K26&lt;0,J26&lt;=0),"負数・数量確認","OK"))))))</f>
        <v/>
      </c>
      <c r="I26" s="3"/>
      <c r="J26" s="1" t="str">
        <f>IF(A26="","",IF(I26="一式",1,IFERROR(INDEX(見積入力!$D$16:$D$25,MATCH(A26,見積入力!$A$16:$A$25,0)),"ID未登録")))</f>
        <v/>
      </c>
      <c r="K26" s="13" t="str">
        <f t="shared" si="1"/>
        <v/>
      </c>
    </row>
    <row r="27" spans="1:14" ht="30" customHeight="1">
      <c r="A27" s="3"/>
      <c r="B27" s="3"/>
      <c r="C27" s="3"/>
      <c r="D27" s="12"/>
      <c r="E27" s="12"/>
      <c r="F27" s="7" t="str">
        <f t="shared" si="0"/>
        <v/>
      </c>
      <c r="G27" s="19"/>
      <c r="H27" s="16" t="str">
        <f>IF(COUNTA(A27:E27)+COUNTA(G27)+COUNTA(I27)=0,"",IF(OR(A27="",B27="",C27="",I27=""),"必須欄不足",IF(AND(A27&lt;&gt;"案件共通",COUNTIFS(見積入力!$A$16:$A$25,A27)&lt;&gt;1),"ID未登録・重複",IF(OR(AND(I27&lt;&gt;"数量連動",I27&lt;&gt;"一式"),AND(A27="案件共通",I27&lt;&gt;"一式")),"数量の扱い確認",IF(OR(NOT(ISNUMBER(D27)),NOT(ISNUMBER(K27)),AND(B27&lt;&gt;"生産原価",E27=""),D27="",NOT(ISNUMBER(J27))),"数値を入力",IF(OR(D27&lt;0,K27&lt;0,J27&lt;=0),"負数・数量確認","OK"))))))</f>
        <v/>
      </c>
      <c r="I27" s="3"/>
      <c r="J27" s="1" t="str">
        <f>IF(A27="","",IF(I27="一式",1,IFERROR(INDEX(見積入力!$D$16:$D$25,MATCH(A27,見積入力!$A$16:$A$25,0)),"ID未登録")))</f>
        <v/>
      </c>
      <c r="K27" s="13" t="str">
        <f t="shared" si="1"/>
        <v/>
      </c>
    </row>
    <row r="28" spans="1:14" ht="30" customHeight="1">
      <c r="A28" s="3"/>
      <c r="B28" s="3"/>
      <c r="C28" s="3"/>
      <c r="D28" s="12"/>
      <c r="E28" s="12"/>
      <c r="F28" s="7" t="str">
        <f t="shared" si="0"/>
        <v/>
      </c>
      <c r="G28" s="19"/>
      <c r="H28" s="16" t="str">
        <f>IF(COUNTA(A28:E28)+COUNTA(G28)+COUNTA(I28)=0,"",IF(OR(A28="",B28="",C28="",I28=""),"必須欄不足",IF(AND(A28&lt;&gt;"案件共通",COUNTIFS(見積入力!$A$16:$A$25,A28)&lt;&gt;1),"ID未登録・重複",IF(OR(AND(I28&lt;&gt;"数量連動",I28&lt;&gt;"一式"),AND(A28="案件共通",I28&lt;&gt;"一式")),"数量の扱い確認",IF(OR(NOT(ISNUMBER(D28)),NOT(ISNUMBER(K28)),AND(B28&lt;&gt;"生産原価",E28=""),D28="",NOT(ISNUMBER(J28))),"数値を入力",IF(OR(D28&lt;0,K28&lt;0,J28&lt;=0),"負数・数量確認","OK"))))))</f>
        <v/>
      </c>
      <c r="I28" s="3"/>
      <c r="J28" s="1" t="str">
        <f>IF(A28="","",IF(I28="一式",1,IFERROR(INDEX(見積入力!$D$16:$D$25,MATCH(A28,見積入力!$A$16:$A$25,0)),"ID未登録")))</f>
        <v/>
      </c>
      <c r="K28" s="13" t="str">
        <f t="shared" si="1"/>
        <v/>
      </c>
    </row>
    <row r="29" spans="1:14" ht="30" customHeight="1">
      <c r="A29" s="3"/>
      <c r="B29" s="3"/>
      <c r="C29" s="3"/>
      <c r="D29" s="12"/>
      <c r="E29" s="12"/>
      <c r="F29" s="7" t="str">
        <f t="shared" si="0"/>
        <v/>
      </c>
      <c r="G29" s="19"/>
      <c r="H29" s="16" t="str">
        <f>IF(COUNTA(A29:E29)+COUNTA(G29)+COUNTA(I29)=0,"",IF(OR(A29="",B29="",C29="",I29=""),"必須欄不足",IF(AND(A29&lt;&gt;"案件共通",COUNTIFS(見積入力!$A$16:$A$25,A29)&lt;&gt;1),"ID未登録・重複",IF(OR(AND(I29&lt;&gt;"数量連動",I29&lt;&gt;"一式"),AND(A29="案件共通",I29&lt;&gt;"一式")),"数量の扱い確認",IF(OR(NOT(ISNUMBER(D29)),NOT(ISNUMBER(K29)),AND(B29&lt;&gt;"生産原価",E29=""),D29="",NOT(ISNUMBER(J29))),"数値を入力",IF(OR(D29&lt;0,K29&lt;0,J29&lt;=0),"負数・数量確認","OK"))))))</f>
        <v/>
      </c>
      <c r="I29" s="3"/>
      <c r="J29" s="1" t="str">
        <f>IF(A29="","",IF(I29="一式",1,IFERROR(INDEX(見積入力!$D$16:$D$25,MATCH(A29,見積入力!$A$16:$A$25,0)),"ID未登録")))</f>
        <v/>
      </c>
      <c r="K29" s="13" t="str">
        <f t="shared" si="1"/>
        <v/>
      </c>
    </row>
    <row r="30" spans="1:14" ht="30" customHeight="1">
      <c r="A30" s="3"/>
      <c r="B30" s="3"/>
      <c r="C30" s="3"/>
      <c r="D30" s="12"/>
      <c r="E30" s="12"/>
      <c r="F30" s="7" t="str">
        <f t="shared" si="0"/>
        <v/>
      </c>
      <c r="G30" s="19"/>
      <c r="H30" s="16" t="str">
        <f>IF(COUNTA(A30:E30)+COUNTA(G30)+COUNTA(I30)=0,"",IF(OR(A30="",B30="",C30="",I30=""),"必須欄不足",IF(AND(A30&lt;&gt;"案件共通",COUNTIFS(見積入力!$A$16:$A$25,A30)&lt;&gt;1),"ID未登録・重複",IF(OR(AND(I30&lt;&gt;"数量連動",I30&lt;&gt;"一式"),AND(A30="案件共通",I30&lt;&gt;"一式")),"数量の扱い確認",IF(OR(NOT(ISNUMBER(D30)),NOT(ISNUMBER(K30)),AND(B30&lt;&gt;"生産原価",E30=""),D30="",NOT(ISNUMBER(J30))),"数値を入力",IF(OR(D30&lt;0,K30&lt;0,J30&lt;=0),"負数・数量確認","OK"))))))</f>
        <v/>
      </c>
      <c r="I30" s="3"/>
      <c r="J30" s="1" t="str">
        <f>IF(A30="","",IF(I30="一式",1,IFERROR(INDEX(見積入力!$D$16:$D$25,MATCH(A30,見積入力!$A$16:$A$25,0)),"ID未登録")))</f>
        <v/>
      </c>
      <c r="K30" s="13" t="str">
        <f t="shared" si="1"/>
        <v/>
      </c>
    </row>
    <row r="31" spans="1:14" ht="30" customHeight="1">
      <c r="A31" s="3"/>
      <c r="B31" s="3"/>
      <c r="C31" s="3"/>
      <c r="D31" s="12"/>
      <c r="E31" s="12"/>
      <c r="F31" s="7" t="str">
        <f t="shared" si="0"/>
        <v/>
      </c>
      <c r="G31" s="19"/>
      <c r="H31" s="16" t="str">
        <f>IF(COUNTA(A31:E31)+COUNTA(G31)+COUNTA(I31)=0,"",IF(OR(A31="",B31="",C31="",I31=""),"必須欄不足",IF(AND(A31&lt;&gt;"案件共通",COUNTIFS(見積入力!$A$16:$A$25,A31)&lt;&gt;1),"ID未登録・重複",IF(OR(AND(I31&lt;&gt;"数量連動",I31&lt;&gt;"一式"),AND(A31="案件共通",I31&lt;&gt;"一式")),"数量の扱い確認",IF(OR(NOT(ISNUMBER(D31)),NOT(ISNUMBER(K31)),AND(B31&lt;&gt;"生産原価",E31=""),D31="",NOT(ISNUMBER(J31))),"数値を入力",IF(OR(D31&lt;0,K31&lt;0,J31&lt;=0),"負数・数量確認","OK"))))))</f>
        <v/>
      </c>
      <c r="I31" s="3"/>
      <c r="J31" s="1" t="str">
        <f>IF(A31="","",IF(I31="一式",1,IFERROR(INDEX(見積入力!$D$16:$D$25,MATCH(A31,見積入力!$A$16:$A$25,0)),"ID未登録")))</f>
        <v/>
      </c>
      <c r="K31" s="13" t="str">
        <f t="shared" si="1"/>
        <v/>
      </c>
    </row>
    <row r="32" spans="1:14" ht="30" customHeight="1">
      <c r="A32" s="3"/>
      <c r="B32" s="3"/>
      <c r="C32" s="3"/>
      <c r="D32" s="12"/>
      <c r="E32" s="12"/>
      <c r="F32" s="7" t="str">
        <f t="shared" si="0"/>
        <v/>
      </c>
      <c r="G32" s="19"/>
      <c r="H32" s="16" t="str">
        <f>IF(COUNTA(A32:E32)+COUNTA(G32)+COUNTA(I32)=0,"",IF(OR(A32="",B32="",C32="",I32=""),"必須欄不足",IF(AND(A32&lt;&gt;"案件共通",COUNTIFS(見積入力!$A$16:$A$25,A32)&lt;&gt;1),"ID未登録・重複",IF(OR(AND(I32&lt;&gt;"数量連動",I32&lt;&gt;"一式"),AND(A32="案件共通",I32&lt;&gt;"一式")),"数量の扱い確認",IF(OR(NOT(ISNUMBER(D32)),NOT(ISNUMBER(K32)),AND(B32&lt;&gt;"生産原価",E32=""),D32="",NOT(ISNUMBER(J32))),"数値を入力",IF(OR(D32&lt;0,K32&lt;0,J32&lt;=0),"負数・数量確認","OK"))))))</f>
        <v/>
      </c>
      <c r="I32" s="3"/>
      <c r="J32" s="1" t="str">
        <f>IF(A32="","",IF(I32="一式",1,IFERROR(INDEX(見積入力!$D$16:$D$25,MATCH(A32,見積入力!$A$16:$A$25,0)),"ID未登録")))</f>
        <v/>
      </c>
      <c r="K32" s="13" t="str">
        <f t="shared" si="1"/>
        <v/>
      </c>
    </row>
    <row r="33" spans="1:11" ht="30" customHeight="1">
      <c r="A33" s="3"/>
      <c r="B33" s="3"/>
      <c r="C33" s="3"/>
      <c r="D33" s="12"/>
      <c r="E33" s="12"/>
      <c r="F33" s="7" t="str">
        <f t="shared" si="0"/>
        <v/>
      </c>
      <c r="G33" s="19"/>
      <c r="H33" s="16" t="str">
        <f>IF(COUNTA(A33:E33)+COUNTA(G33)+COUNTA(I33)=0,"",IF(OR(A33="",B33="",C33="",I33=""),"必須欄不足",IF(AND(A33&lt;&gt;"案件共通",COUNTIFS(見積入力!$A$16:$A$25,A33)&lt;&gt;1),"ID未登録・重複",IF(OR(AND(I33&lt;&gt;"数量連動",I33&lt;&gt;"一式"),AND(A33="案件共通",I33&lt;&gt;"一式")),"数量の扱い確認",IF(OR(NOT(ISNUMBER(D33)),NOT(ISNUMBER(K33)),AND(B33&lt;&gt;"生産原価",E33=""),D33="",NOT(ISNUMBER(J33))),"数値を入力",IF(OR(D33&lt;0,K33&lt;0,J33&lt;=0),"負数・数量確認","OK"))))))</f>
        <v/>
      </c>
      <c r="I33" s="3"/>
      <c r="J33" s="1" t="str">
        <f>IF(A33="","",IF(I33="一式",1,IFERROR(INDEX(見積入力!$D$16:$D$25,MATCH(A33,見積入力!$A$16:$A$25,0)),"ID未登録")))</f>
        <v/>
      </c>
      <c r="K33" s="13" t="str">
        <f t="shared" si="1"/>
        <v/>
      </c>
    </row>
    <row r="34" spans="1:11" ht="30" customHeight="1">
      <c r="A34" s="3"/>
      <c r="B34" s="3"/>
      <c r="C34" s="3"/>
      <c r="D34" s="12"/>
      <c r="E34" s="12"/>
      <c r="F34" s="7" t="str">
        <f t="shared" si="0"/>
        <v/>
      </c>
      <c r="G34" s="19"/>
      <c r="H34" s="16" t="str">
        <f>IF(COUNTA(A34:E34)+COUNTA(G34)+COUNTA(I34)=0,"",IF(OR(A34="",B34="",C34="",I34=""),"必須欄不足",IF(AND(A34&lt;&gt;"案件共通",COUNTIFS(見積入力!$A$16:$A$25,A34)&lt;&gt;1),"ID未登録・重複",IF(OR(AND(I34&lt;&gt;"数量連動",I34&lt;&gt;"一式"),AND(A34="案件共通",I34&lt;&gt;"一式")),"数量の扱い確認",IF(OR(NOT(ISNUMBER(D34)),NOT(ISNUMBER(K34)),AND(B34&lt;&gt;"生産原価",E34=""),D34="",NOT(ISNUMBER(J34))),"数値を入力",IF(OR(D34&lt;0,K34&lt;0,J34&lt;=0),"負数・数量確認","OK"))))))</f>
        <v/>
      </c>
      <c r="I34" s="3"/>
      <c r="J34" s="1" t="str">
        <f>IF(A34="","",IF(I34="一式",1,IFERROR(INDEX(見積入力!$D$16:$D$25,MATCH(A34,見積入力!$A$16:$A$25,0)),"ID未登録")))</f>
        <v/>
      </c>
      <c r="K34" s="13" t="str">
        <f t="shared" si="1"/>
        <v/>
      </c>
    </row>
    <row r="35" spans="1:11" ht="30" customHeight="1">
      <c r="A35" s="3"/>
      <c r="B35" s="3"/>
      <c r="C35" s="3"/>
      <c r="D35" s="12"/>
      <c r="E35" s="12"/>
      <c r="F35" s="7" t="str">
        <f t="shared" si="0"/>
        <v/>
      </c>
      <c r="G35" s="19"/>
      <c r="H35" s="16" t="str">
        <f>IF(COUNTA(A35:E35)+COUNTA(G35)+COUNTA(I35)=0,"",IF(OR(A35="",B35="",C35="",I35=""),"必須欄不足",IF(AND(A35&lt;&gt;"案件共通",COUNTIFS(見積入力!$A$16:$A$25,A35)&lt;&gt;1),"ID未登録・重複",IF(OR(AND(I35&lt;&gt;"数量連動",I35&lt;&gt;"一式"),AND(A35="案件共通",I35&lt;&gt;"一式")),"数量の扱い確認",IF(OR(NOT(ISNUMBER(D35)),NOT(ISNUMBER(K35)),AND(B35&lt;&gt;"生産原価",E35=""),D35="",NOT(ISNUMBER(J35))),"数値を入力",IF(OR(D35&lt;0,K35&lt;0,J35&lt;=0),"負数・数量確認","OK"))))))</f>
        <v/>
      </c>
      <c r="I35" s="3"/>
      <c r="J35" s="1" t="str">
        <f>IF(A35="","",IF(I35="一式",1,IFERROR(INDEX(見積入力!$D$16:$D$25,MATCH(A35,見積入力!$A$16:$A$25,0)),"ID未登録")))</f>
        <v/>
      </c>
      <c r="K35" s="13" t="str">
        <f t="shared" si="1"/>
        <v/>
      </c>
    </row>
    <row r="36" spans="1:11" ht="30" customHeight="1">
      <c r="A36" s="3"/>
      <c r="B36" s="3"/>
      <c r="C36" s="3"/>
      <c r="D36" s="12"/>
      <c r="E36" s="12"/>
      <c r="F36" s="7" t="str">
        <f t="shared" si="0"/>
        <v/>
      </c>
      <c r="G36" s="19"/>
      <c r="H36" s="16" t="str">
        <f>IF(COUNTA(A36:E36)+COUNTA(G36)+COUNTA(I36)=0,"",IF(OR(A36="",B36="",C36="",I36=""),"必須欄不足",IF(AND(A36&lt;&gt;"案件共通",COUNTIFS(見積入力!$A$16:$A$25,A36)&lt;&gt;1),"ID未登録・重複",IF(OR(AND(I36&lt;&gt;"数量連動",I36&lt;&gt;"一式"),AND(A36="案件共通",I36&lt;&gt;"一式")),"数量の扱い確認",IF(OR(NOT(ISNUMBER(D36)),NOT(ISNUMBER(K36)),AND(B36&lt;&gt;"生産原価",E36=""),D36="",NOT(ISNUMBER(J36))),"数値を入力",IF(OR(D36&lt;0,K36&lt;0,J36&lt;=0),"負数・数量確認","OK"))))))</f>
        <v/>
      </c>
      <c r="I36" s="3"/>
      <c r="J36" s="1" t="str">
        <f>IF(A36="","",IF(I36="一式",1,IFERROR(INDEX(見積入力!$D$16:$D$25,MATCH(A36,見積入力!$A$16:$A$25,0)),"ID未登録")))</f>
        <v/>
      </c>
      <c r="K36" s="13" t="str">
        <f t="shared" si="1"/>
        <v/>
      </c>
    </row>
    <row r="37" spans="1:11" ht="30" customHeight="1">
      <c r="A37" s="3"/>
      <c r="B37" s="3"/>
      <c r="C37" s="3"/>
      <c r="D37" s="12"/>
      <c r="E37" s="12"/>
      <c r="F37" s="7" t="str">
        <f t="shared" si="0"/>
        <v/>
      </c>
      <c r="G37" s="19"/>
      <c r="H37" s="16" t="str">
        <f>IF(COUNTA(A37:E37)+COUNTA(G37)+COUNTA(I37)=0,"",IF(OR(A37="",B37="",C37="",I37=""),"必須欄不足",IF(AND(A37&lt;&gt;"案件共通",COUNTIFS(見積入力!$A$16:$A$25,A37)&lt;&gt;1),"ID未登録・重複",IF(OR(AND(I37&lt;&gt;"数量連動",I37&lt;&gt;"一式"),AND(A37="案件共通",I37&lt;&gt;"一式")),"数量の扱い確認",IF(OR(NOT(ISNUMBER(D37)),NOT(ISNUMBER(K37)),AND(B37&lt;&gt;"生産原価",E37=""),D37="",NOT(ISNUMBER(J37))),"数値を入力",IF(OR(D37&lt;0,K37&lt;0,J37&lt;=0),"負数・数量確認","OK"))))))</f>
        <v/>
      </c>
      <c r="I37" s="3"/>
      <c r="J37" s="1" t="str">
        <f>IF(A37="","",IF(I37="一式",1,IFERROR(INDEX(見積入力!$D$16:$D$25,MATCH(A37,見積入力!$A$16:$A$25,0)),"ID未登録")))</f>
        <v/>
      </c>
      <c r="K37" s="13" t="str">
        <f t="shared" si="1"/>
        <v/>
      </c>
    </row>
    <row r="38" spans="1:11" ht="30" customHeight="1">
      <c r="A38" s="3"/>
      <c r="B38" s="3"/>
      <c r="C38" s="3"/>
      <c r="D38" s="12"/>
      <c r="E38" s="12"/>
      <c r="F38" s="7" t="str">
        <f t="shared" si="0"/>
        <v/>
      </c>
      <c r="G38" s="19"/>
      <c r="H38" s="16" t="str">
        <f>IF(COUNTA(A38:E38)+COUNTA(G38)+COUNTA(I38)=0,"",IF(OR(A38="",B38="",C38="",I38=""),"必須欄不足",IF(AND(A38&lt;&gt;"案件共通",COUNTIFS(見積入力!$A$16:$A$25,A38)&lt;&gt;1),"ID未登録・重複",IF(OR(AND(I38&lt;&gt;"数量連動",I38&lt;&gt;"一式"),AND(A38="案件共通",I38&lt;&gt;"一式")),"数量の扱い確認",IF(OR(NOT(ISNUMBER(D38)),NOT(ISNUMBER(K38)),AND(B38&lt;&gt;"生産原価",E38=""),D38="",NOT(ISNUMBER(J38))),"数値を入力",IF(OR(D38&lt;0,K38&lt;0,J38&lt;=0),"負数・数量確認","OK"))))))</f>
        <v/>
      </c>
      <c r="I38" s="3"/>
      <c r="J38" s="1" t="str">
        <f>IF(A38="","",IF(I38="一式",1,IFERROR(INDEX(見積入力!$D$16:$D$25,MATCH(A38,見積入力!$A$16:$A$25,0)),"ID未登録")))</f>
        <v/>
      </c>
      <c r="K38" s="13" t="str">
        <f t="shared" si="1"/>
        <v/>
      </c>
    </row>
    <row r="39" spans="1:11" ht="30" customHeight="1">
      <c r="A39" s="3"/>
      <c r="B39" s="3"/>
      <c r="C39" s="3"/>
      <c r="D39" s="12"/>
      <c r="E39" s="12"/>
      <c r="F39" s="7" t="str">
        <f t="shared" si="0"/>
        <v/>
      </c>
      <c r="G39" s="19"/>
      <c r="H39" s="16" t="str">
        <f>IF(COUNTA(A39:E39)+COUNTA(G39)+COUNTA(I39)=0,"",IF(OR(A39="",B39="",C39="",I39=""),"必須欄不足",IF(AND(A39&lt;&gt;"案件共通",COUNTIFS(見積入力!$A$16:$A$25,A39)&lt;&gt;1),"ID未登録・重複",IF(OR(AND(I39&lt;&gt;"数量連動",I39&lt;&gt;"一式"),AND(A39="案件共通",I39&lt;&gt;"一式")),"数量の扱い確認",IF(OR(NOT(ISNUMBER(D39)),NOT(ISNUMBER(K39)),AND(B39&lt;&gt;"生産原価",E39=""),D39="",NOT(ISNUMBER(J39))),"数値を入力",IF(OR(D39&lt;0,K39&lt;0,J39&lt;=0),"負数・数量確認","OK"))))))</f>
        <v/>
      </c>
      <c r="I39" s="3"/>
      <c r="J39" s="1" t="str">
        <f>IF(A39="","",IF(I39="一式",1,IFERROR(INDEX(見積入力!$D$16:$D$25,MATCH(A39,見積入力!$A$16:$A$25,0)),"ID未登録")))</f>
        <v/>
      </c>
      <c r="K39" s="13" t="str">
        <f t="shared" si="1"/>
        <v/>
      </c>
    </row>
    <row r="40" spans="1:11" ht="30" customHeight="1">
      <c r="A40" s="3"/>
      <c r="B40" s="3"/>
      <c r="C40" s="3"/>
      <c r="D40" s="12"/>
      <c r="E40" s="12"/>
      <c r="F40" s="7" t="str">
        <f t="shared" si="0"/>
        <v/>
      </c>
      <c r="G40" s="19"/>
      <c r="H40" s="16" t="str">
        <f>IF(COUNTA(A40:E40)+COUNTA(G40)+COUNTA(I40)=0,"",IF(OR(A40="",B40="",C40="",I40=""),"必須欄不足",IF(AND(A40&lt;&gt;"案件共通",COUNTIFS(見積入力!$A$16:$A$25,A40)&lt;&gt;1),"ID未登録・重複",IF(OR(AND(I40&lt;&gt;"数量連動",I40&lt;&gt;"一式"),AND(A40="案件共通",I40&lt;&gt;"一式")),"数量の扱い確認",IF(OR(NOT(ISNUMBER(D40)),NOT(ISNUMBER(K40)),AND(B40&lt;&gt;"生産原価",E40=""),D40="",NOT(ISNUMBER(J40))),"数値を入力",IF(OR(D40&lt;0,K40&lt;0,J40&lt;=0),"負数・数量確認","OK"))))))</f>
        <v/>
      </c>
      <c r="I40" s="3"/>
      <c r="J40" s="1" t="str">
        <f>IF(A40="","",IF(I40="一式",1,IFERROR(INDEX(見積入力!$D$16:$D$25,MATCH(A40,見積入力!$A$16:$A$25,0)),"ID未登録")))</f>
        <v/>
      </c>
      <c r="K40" s="13" t="str">
        <f t="shared" si="1"/>
        <v/>
      </c>
    </row>
    <row r="41" spans="1:11" ht="30" customHeight="1">
      <c r="A41" s="3"/>
      <c r="B41" s="3"/>
      <c r="C41" s="3"/>
      <c r="D41" s="12"/>
      <c r="E41" s="12"/>
      <c r="F41" s="7" t="str">
        <f t="shared" si="0"/>
        <v/>
      </c>
      <c r="G41" s="19"/>
      <c r="H41" s="16" t="str">
        <f>IF(COUNTA(A41:E41)+COUNTA(G41)+COUNTA(I41)=0,"",IF(OR(A41="",B41="",C41="",I41=""),"必須欄不足",IF(AND(A41&lt;&gt;"案件共通",COUNTIFS(見積入力!$A$16:$A$25,A41)&lt;&gt;1),"ID未登録・重複",IF(OR(AND(I41&lt;&gt;"数量連動",I41&lt;&gt;"一式"),AND(A41="案件共通",I41&lt;&gt;"一式")),"数量の扱い確認",IF(OR(NOT(ISNUMBER(D41)),NOT(ISNUMBER(K41)),AND(B41&lt;&gt;"生産原価",E41=""),D41="",NOT(ISNUMBER(J41))),"数値を入力",IF(OR(D41&lt;0,K41&lt;0,J41&lt;=0),"負数・数量確認","OK"))))))</f>
        <v/>
      </c>
      <c r="I41" s="3"/>
      <c r="J41" s="1" t="str">
        <f>IF(A41="","",IF(I41="一式",1,IFERROR(INDEX(見積入力!$D$16:$D$25,MATCH(A41,見積入力!$A$16:$A$25,0)),"ID未登録")))</f>
        <v/>
      </c>
      <c r="K41" s="13" t="str">
        <f t="shared" si="1"/>
        <v/>
      </c>
    </row>
    <row r="42" spans="1:11" ht="30" customHeight="1">
      <c r="A42" s="3"/>
      <c r="B42" s="3"/>
      <c r="C42" s="3"/>
      <c r="D42" s="12"/>
      <c r="E42" s="12"/>
      <c r="F42" s="7" t="str">
        <f t="shared" si="0"/>
        <v/>
      </c>
      <c r="G42" s="19"/>
      <c r="H42" s="16" t="str">
        <f>IF(COUNTA(A42:E42)+COUNTA(G42)+COUNTA(I42)=0,"",IF(OR(A42="",B42="",C42="",I42=""),"必須欄不足",IF(AND(A42&lt;&gt;"案件共通",COUNTIFS(見積入力!$A$16:$A$25,A42)&lt;&gt;1),"ID未登録・重複",IF(OR(AND(I42&lt;&gt;"数量連動",I42&lt;&gt;"一式"),AND(A42="案件共通",I42&lt;&gt;"一式")),"数量の扱い確認",IF(OR(NOT(ISNUMBER(D42)),NOT(ISNUMBER(K42)),AND(B42&lt;&gt;"生産原価",E42=""),D42="",NOT(ISNUMBER(J42))),"数値を入力",IF(OR(D42&lt;0,K42&lt;0,J42&lt;=0),"負数・数量確認","OK"))))))</f>
        <v/>
      </c>
      <c r="I42" s="3"/>
      <c r="J42" s="1" t="str">
        <f>IF(A42="","",IF(I42="一式",1,IFERROR(INDEX(見積入力!$D$16:$D$25,MATCH(A42,見積入力!$A$16:$A$25,0)),"ID未登録")))</f>
        <v/>
      </c>
      <c r="K42" s="13" t="str">
        <f t="shared" si="1"/>
        <v/>
      </c>
    </row>
    <row r="43" spans="1:11" ht="30" customHeight="1">
      <c r="A43" s="3"/>
      <c r="B43" s="3"/>
      <c r="C43" s="3"/>
      <c r="D43" s="12"/>
      <c r="E43" s="12"/>
      <c r="F43" s="7" t="str">
        <f t="shared" si="0"/>
        <v/>
      </c>
      <c r="G43" s="19"/>
      <c r="H43" s="16" t="str">
        <f>IF(COUNTA(A43:E43)+COUNTA(G43)+COUNTA(I43)=0,"",IF(OR(A43="",B43="",C43="",I43=""),"必須欄不足",IF(AND(A43&lt;&gt;"案件共通",COUNTIFS(見積入力!$A$16:$A$25,A43)&lt;&gt;1),"ID未登録・重複",IF(OR(AND(I43&lt;&gt;"数量連動",I43&lt;&gt;"一式"),AND(A43="案件共通",I43&lt;&gt;"一式")),"数量の扱い確認",IF(OR(NOT(ISNUMBER(D43)),NOT(ISNUMBER(K43)),AND(B43&lt;&gt;"生産原価",E43=""),D43="",NOT(ISNUMBER(J43))),"数値を入力",IF(OR(D43&lt;0,K43&lt;0,J43&lt;=0),"負数・数量確認","OK"))))))</f>
        <v/>
      </c>
      <c r="I43" s="3"/>
      <c r="J43" s="1" t="str">
        <f>IF(A43="","",IF(I43="一式",1,IFERROR(INDEX(見積入力!$D$16:$D$25,MATCH(A43,見積入力!$A$16:$A$25,0)),"ID未登録")))</f>
        <v/>
      </c>
      <c r="K43" s="13" t="str">
        <f t="shared" si="1"/>
        <v/>
      </c>
    </row>
    <row r="44" spans="1:11" ht="30" customHeight="1">
      <c r="A44" s="3"/>
      <c r="B44" s="3"/>
      <c r="C44" s="3"/>
      <c r="D44" s="12"/>
      <c r="E44" s="12"/>
      <c r="F44" s="7" t="str">
        <f t="shared" si="0"/>
        <v/>
      </c>
      <c r="G44" s="19"/>
      <c r="H44" s="16" t="str">
        <f>IF(COUNTA(A44:E44)+COUNTA(G44)+COUNTA(I44)=0,"",IF(OR(A44="",B44="",C44="",I44=""),"必須欄不足",IF(AND(A44&lt;&gt;"案件共通",COUNTIFS(見積入力!$A$16:$A$25,A44)&lt;&gt;1),"ID未登録・重複",IF(OR(AND(I44&lt;&gt;"数量連動",I44&lt;&gt;"一式"),AND(A44="案件共通",I44&lt;&gt;"一式")),"数量の扱い確認",IF(OR(NOT(ISNUMBER(D44)),NOT(ISNUMBER(K44)),AND(B44&lt;&gt;"生産原価",E44=""),D44="",NOT(ISNUMBER(J44))),"数値を入力",IF(OR(D44&lt;0,K44&lt;0,J44&lt;=0),"負数・数量確認","OK"))))))</f>
        <v/>
      </c>
      <c r="I44" s="3"/>
      <c r="J44" s="1" t="str">
        <f>IF(A44="","",IF(I44="一式",1,IFERROR(INDEX(見積入力!$D$16:$D$25,MATCH(A44,見積入力!$A$16:$A$25,0)),"ID未登録")))</f>
        <v/>
      </c>
      <c r="K44" s="13" t="str">
        <f t="shared" si="1"/>
        <v/>
      </c>
    </row>
    <row r="45" spans="1:11" ht="30" customHeight="1">
      <c r="A45" s="3"/>
      <c r="B45" s="3"/>
      <c r="C45" s="3"/>
      <c r="D45" s="12"/>
      <c r="E45" s="12"/>
      <c r="F45" s="7" t="str">
        <f t="shared" si="0"/>
        <v/>
      </c>
      <c r="G45" s="19"/>
      <c r="H45" s="16" t="str">
        <f>IF(COUNTA(A45:E45)+COUNTA(G45)+COUNTA(I45)=0,"",IF(OR(A45="",B45="",C45="",I45=""),"必須欄不足",IF(AND(A45&lt;&gt;"案件共通",COUNTIFS(見積入力!$A$16:$A$25,A45)&lt;&gt;1),"ID未登録・重複",IF(OR(AND(I45&lt;&gt;"数量連動",I45&lt;&gt;"一式"),AND(A45="案件共通",I45&lt;&gt;"一式")),"数量の扱い確認",IF(OR(NOT(ISNUMBER(D45)),NOT(ISNUMBER(K45)),AND(B45&lt;&gt;"生産原価",E45=""),D45="",NOT(ISNUMBER(J45))),"数値を入力",IF(OR(D45&lt;0,K45&lt;0,J45&lt;=0),"負数・数量確認","OK"))))))</f>
        <v/>
      </c>
      <c r="I45" s="3"/>
      <c r="J45" s="1" t="str">
        <f>IF(A45="","",IF(I45="一式",1,IFERROR(INDEX(見積入力!$D$16:$D$25,MATCH(A45,見積入力!$A$16:$A$25,0)),"ID未登録")))</f>
        <v/>
      </c>
      <c r="K45" s="13" t="str">
        <f t="shared" si="1"/>
        <v/>
      </c>
    </row>
    <row r="46" spans="1:11" ht="30" customHeight="1">
      <c r="A46" s="3"/>
      <c r="B46" s="3"/>
      <c r="C46" s="3"/>
      <c r="D46" s="12"/>
      <c r="E46" s="12"/>
      <c r="F46" s="7" t="str">
        <f t="shared" si="0"/>
        <v/>
      </c>
      <c r="G46" s="19"/>
      <c r="H46" s="16" t="str">
        <f>IF(COUNTA(A46:E46)+COUNTA(G46)+COUNTA(I46)=0,"",IF(OR(A46="",B46="",C46="",I46=""),"必須欄不足",IF(AND(A46&lt;&gt;"案件共通",COUNTIFS(見積入力!$A$16:$A$25,A46)&lt;&gt;1),"ID未登録・重複",IF(OR(AND(I46&lt;&gt;"数量連動",I46&lt;&gt;"一式"),AND(A46="案件共通",I46&lt;&gt;"一式")),"数量の扱い確認",IF(OR(NOT(ISNUMBER(D46)),NOT(ISNUMBER(K46)),AND(B46&lt;&gt;"生産原価",E46=""),D46="",NOT(ISNUMBER(J46))),"数値を入力",IF(OR(D46&lt;0,K46&lt;0,J46&lt;=0),"負数・数量確認","OK"))))))</f>
        <v/>
      </c>
      <c r="I46" s="3"/>
      <c r="J46" s="1" t="str">
        <f>IF(A46="","",IF(I46="一式",1,IFERROR(INDEX(見積入力!$D$16:$D$25,MATCH(A46,見積入力!$A$16:$A$25,0)),"ID未登録")))</f>
        <v/>
      </c>
      <c r="K46" s="13" t="str">
        <f t="shared" si="1"/>
        <v/>
      </c>
    </row>
    <row r="47" spans="1:11" ht="30" customHeight="1">
      <c r="A47" s="3"/>
      <c r="B47" s="3"/>
      <c r="C47" s="3"/>
      <c r="D47" s="12"/>
      <c r="E47" s="12"/>
      <c r="F47" s="7" t="str">
        <f t="shared" si="0"/>
        <v/>
      </c>
      <c r="G47" s="19"/>
      <c r="H47" s="16" t="str">
        <f>IF(COUNTA(A47:E47)+COUNTA(G47)+COUNTA(I47)=0,"",IF(OR(A47="",B47="",C47="",I47=""),"必須欄不足",IF(AND(A47&lt;&gt;"案件共通",COUNTIFS(見積入力!$A$16:$A$25,A47)&lt;&gt;1),"ID未登録・重複",IF(OR(AND(I47&lt;&gt;"数量連動",I47&lt;&gt;"一式"),AND(A47="案件共通",I47&lt;&gt;"一式")),"数量の扱い確認",IF(OR(NOT(ISNUMBER(D47)),NOT(ISNUMBER(K47)),AND(B47&lt;&gt;"生産原価",E47=""),D47="",NOT(ISNUMBER(J47))),"数値を入力",IF(OR(D47&lt;0,K47&lt;0,J47&lt;=0),"負数・数量確認","OK"))))))</f>
        <v/>
      </c>
      <c r="I47" s="3"/>
      <c r="J47" s="1" t="str">
        <f>IF(A47="","",IF(I47="一式",1,IFERROR(INDEX(見積入力!$D$16:$D$25,MATCH(A47,見積入力!$A$16:$A$25,0)),"ID未登録")))</f>
        <v/>
      </c>
      <c r="K47" s="13" t="str">
        <f t="shared" si="1"/>
        <v/>
      </c>
    </row>
    <row r="48" spans="1:11" ht="30" customHeight="1">
      <c r="A48" s="3"/>
      <c r="B48" s="3"/>
      <c r="C48" s="3"/>
      <c r="D48" s="12"/>
      <c r="E48" s="12"/>
      <c r="F48" s="7" t="str">
        <f t="shared" si="0"/>
        <v/>
      </c>
      <c r="G48" s="19"/>
      <c r="H48" s="16" t="str">
        <f>IF(COUNTA(A48:E48)+COUNTA(G48)+COUNTA(I48)=0,"",IF(OR(A48="",B48="",C48="",I48=""),"必須欄不足",IF(AND(A48&lt;&gt;"案件共通",COUNTIFS(見積入力!$A$16:$A$25,A48)&lt;&gt;1),"ID未登録・重複",IF(OR(AND(I48&lt;&gt;"数量連動",I48&lt;&gt;"一式"),AND(A48="案件共通",I48&lt;&gt;"一式")),"数量の扱い確認",IF(OR(NOT(ISNUMBER(D48)),NOT(ISNUMBER(K48)),AND(B48&lt;&gt;"生産原価",E48=""),D48="",NOT(ISNUMBER(J48))),"数値を入力",IF(OR(D48&lt;0,K48&lt;0,J48&lt;=0),"負数・数量確認","OK"))))))</f>
        <v/>
      </c>
      <c r="I48" s="3"/>
      <c r="J48" s="1" t="str">
        <f>IF(A48="","",IF(I48="一式",1,IFERROR(INDEX(見積入力!$D$16:$D$25,MATCH(A48,見積入力!$A$16:$A$25,0)),"ID未登録")))</f>
        <v/>
      </c>
      <c r="K48" s="13" t="str">
        <f t="shared" si="1"/>
        <v/>
      </c>
    </row>
    <row r="49" spans="1:11" ht="30" customHeight="1">
      <c r="A49" s="3"/>
      <c r="B49" s="3"/>
      <c r="C49" s="3"/>
      <c r="D49" s="12"/>
      <c r="E49" s="12"/>
      <c r="F49" s="7" t="str">
        <f t="shared" si="0"/>
        <v/>
      </c>
      <c r="G49" s="19"/>
      <c r="H49" s="16" t="str">
        <f>IF(COUNTA(A49:E49)+COUNTA(G49)+COUNTA(I49)=0,"",IF(OR(A49="",B49="",C49="",I49=""),"必須欄不足",IF(AND(A49&lt;&gt;"案件共通",COUNTIFS(見積入力!$A$16:$A$25,A49)&lt;&gt;1),"ID未登録・重複",IF(OR(AND(I49&lt;&gt;"数量連動",I49&lt;&gt;"一式"),AND(A49="案件共通",I49&lt;&gt;"一式")),"数量の扱い確認",IF(OR(NOT(ISNUMBER(D49)),NOT(ISNUMBER(K49)),AND(B49&lt;&gt;"生産原価",E49=""),D49="",NOT(ISNUMBER(J49))),"数値を入力",IF(OR(D49&lt;0,K49&lt;0,J49&lt;=0),"負数・数量確認","OK"))))))</f>
        <v/>
      </c>
      <c r="I49" s="3"/>
      <c r="J49" s="1" t="str">
        <f>IF(A49="","",IF(I49="一式",1,IFERROR(INDEX(見積入力!$D$16:$D$25,MATCH(A49,見積入力!$A$16:$A$25,0)),"ID未登録")))</f>
        <v/>
      </c>
      <c r="K49" s="13" t="str">
        <f t="shared" si="1"/>
        <v/>
      </c>
    </row>
    <row r="50" spans="1:11" ht="30" customHeight="1">
      <c r="A50" s="3"/>
      <c r="B50" s="3"/>
      <c r="C50" s="3"/>
      <c r="D50" s="12"/>
      <c r="E50" s="12"/>
      <c r="F50" s="7" t="str">
        <f t="shared" si="0"/>
        <v/>
      </c>
      <c r="G50" s="19"/>
      <c r="H50" s="16" t="str">
        <f>IF(COUNTA(A50:E50)+COUNTA(G50)+COUNTA(I50)=0,"",IF(OR(A50="",B50="",C50="",I50=""),"必須欄不足",IF(AND(A50&lt;&gt;"案件共通",COUNTIFS(見積入力!$A$16:$A$25,A50)&lt;&gt;1),"ID未登録・重複",IF(OR(AND(I50&lt;&gt;"数量連動",I50&lt;&gt;"一式"),AND(A50="案件共通",I50&lt;&gt;"一式")),"数量の扱い確認",IF(OR(NOT(ISNUMBER(D50)),NOT(ISNUMBER(K50)),AND(B50&lt;&gt;"生産原価",E50=""),D50="",NOT(ISNUMBER(J50))),"数値を入力",IF(OR(D50&lt;0,K50&lt;0,J50&lt;=0),"負数・数量確認","OK"))))))</f>
        <v/>
      </c>
      <c r="I50" s="3"/>
      <c r="J50" s="1" t="str">
        <f>IF(A50="","",IF(I50="一式",1,IFERROR(INDEX(見積入力!$D$16:$D$25,MATCH(A50,見積入力!$A$16:$A$25,0)),"ID未登録")))</f>
        <v/>
      </c>
      <c r="K50" s="13" t="str">
        <f t="shared" si="1"/>
        <v/>
      </c>
    </row>
    <row r="51" spans="1:11" ht="30" customHeight="1">
      <c r="A51" s="3"/>
      <c r="B51" s="3"/>
      <c r="C51" s="3"/>
      <c r="D51" s="12"/>
      <c r="E51" s="12"/>
      <c r="F51" s="7" t="str">
        <f t="shared" si="0"/>
        <v/>
      </c>
      <c r="G51" s="19"/>
      <c r="H51" s="16" t="str">
        <f>IF(COUNTA(A51:E51)+COUNTA(G51)+COUNTA(I51)=0,"",IF(OR(A51="",B51="",C51="",I51=""),"必須欄不足",IF(AND(A51&lt;&gt;"案件共通",COUNTIFS(見積入力!$A$16:$A$25,A51)&lt;&gt;1),"ID未登録・重複",IF(OR(AND(I51&lt;&gt;"数量連動",I51&lt;&gt;"一式"),AND(A51="案件共通",I51&lt;&gt;"一式")),"数量の扱い確認",IF(OR(NOT(ISNUMBER(D51)),NOT(ISNUMBER(K51)),AND(B51&lt;&gt;"生産原価",E51=""),D51="",NOT(ISNUMBER(J51))),"数値を入力",IF(OR(D51&lt;0,K51&lt;0,J51&lt;=0),"負数・数量確認","OK"))))))</f>
        <v/>
      </c>
      <c r="I51" s="3"/>
      <c r="J51" s="1" t="str">
        <f>IF(A51="","",IF(I51="一式",1,IFERROR(INDEX(見積入力!$D$16:$D$25,MATCH(A51,見積入力!$A$16:$A$25,0)),"ID未登録")))</f>
        <v/>
      </c>
      <c r="K51" s="13" t="str">
        <f t="shared" si="1"/>
        <v/>
      </c>
    </row>
    <row r="52" spans="1:11" ht="30" customHeight="1">
      <c r="A52" s="3"/>
      <c r="B52" s="3"/>
      <c r="C52" s="3"/>
      <c r="D52" s="12"/>
      <c r="E52" s="12"/>
      <c r="F52" s="7" t="str">
        <f t="shared" si="0"/>
        <v/>
      </c>
      <c r="G52" s="19"/>
      <c r="H52" s="16" t="str">
        <f>IF(COUNTA(A52:E52)+COUNTA(G52)+COUNTA(I52)=0,"",IF(OR(A52="",B52="",C52="",I52=""),"必須欄不足",IF(AND(A52&lt;&gt;"案件共通",COUNTIFS(見積入力!$A$16:$A$25,A52)&lt;&gt;1),"ID未登録・重複",IF(OR(AND(I52&lt;&gt;"数量連動",I52&lt;&gt;"一式"),AND(A52="案件共通",I52&lt;&gt;"一式")),"数量の扱い確認",IF(OR(NOT(ISNUMBER(D52)),NOT(ISNUMBER(K52)),AND(B52&lt;&gt;"生産原価",E52=""),D52="",NOT(ISNUMBER(J52))),"数値を入力",IF(OR(D52&lt;0,K52&lt;0,J52&lt;=0),"負数・数量確認","OK"))))))</f>
        <v/>
      </c>
      <c r="I52" s="3"/>
      <c r="J52" s="1" t="str">
        <f>IF(A52="","",IF(I52="一式",1,IFERROR(INDEX(見積入力!$D$16:$D$25,MATCH(A52,見積入力!$A$16:$A$25,0)),"ID未登録")))</f>
        <v/>
      </c>
      <c r="K52" s="13" t="str">
        <f t="shared" si="1"/>
        <v/>
      </c>
    </row>
    <row r="53" spans="1:11" ht="30" customHeight="1">
      <c r="A53" s="3"/>
      <c r="B53" s="3"/>
      <c r="C53" s="3"/>
      <c r="D53" s="12"/>
      <c r="E53" s="12"/>
      <c r="F53" s="7" t="str">
        <f t="shared" si="0"/>
        <v/>
      </c>
      <c r="G53" s="19"/>
      <c r="H53" s="16" t="str">
        <f>IF(COUNTA(A53:E53)+COUNTA(G53)+COUNTA(I53)=0,"",IF(OR(A53="",B53="",C53="",I53=""),"必須欄不足",IF(AND(A53&lt;&gt;"案件共通",COUNTIFS(見積入力!$A$16:$A$25,A53)&lt;&gt;1),"ID未登録・重複",IF(OR(AND(I53&lt;&gt;"数量連動",I53&lt;&gt;"一式"),AND(A53="案件共通",I53&lt;&gt;"一式")),"数量の扱い確認",IF(OR(NOT(ISNUMBER(D53)),NOT(ISNUMBER(K53)),AND(B53&lt;&gt;"生産原価",E53=""),D53="",NOT(ISNUMBER(J53))),"数値を入力",IF(OR(D53&lt;0,K53&lt;0,J53&lt;=0),"負数・数量確認","OK"))))))</f>
        <v/>
      </c>
      <c r="I53" s="3"/>
      <c r="J53" s="1" t="str">
        <f>IF(A53="","",IF(I53="一式",1,IFERROR(INDEX(見積入力!$D$16:$D$25,MATCH(A53,見積入力!$A$16:$A$25,0)),"ID未登録")))</f>
        <v/>
      </c>
      <c r="K53" s="13" t="str">
        <f t="shared" si="1"/>
        <v/>
      </c>
    </row>
    <row r="54" spans="1:11" ht="30" customHeight="1">
      <c r="A54" s="3"/>
      <c r="B54" s="3"/>
      <c r="C54" s="3"/>
      <c r="D54" s="12"/>
      <c r="E54" s="12"/>
      <c r="F54" s="7" t="str">
        <f t="shared" si="0"/>
        <v/>
      </c>
      <c r="G54" s="19"/>
      <c r="H54" s="16" t="str">
        <f>IF(COUNTA(A54:E54)+COUNTA(G54)+COUNTA(I54)=0,"",IF(OR(A54="",B54="",C54="",I54=""),"必須欄不足",IF(AND(A54&lt;&gt;"案件共通",COUNTIFS(見積入力!$A$16:$A$25,A54)&lt;&gt;1),"ID未登録・重複",IF(OR(AND(I54&lt;&gt;"数量連動",I54&lt;&gt;"一式"),AND(A54="案件共通",I54&lt;&gt;"一式")),"数量の扱い確認",IF(OR(NOT(ISNUMBER(D54)),NOT(ISNUMBER(K54)),AND(B54&lt;&gt;"生産原価",E54=""),D54="",NOT(ISNUMBER(J54))),"数値を入力",IF(OR(D54&lt;0,K54&lt;0,J54&lt;=0),"負数・数量確認","OK"))))))</f>
        <v/>
      </c>
      <c r="I54" s="3"/>
      <c r="J54" s="1" t="str">
        <f>IF(A54="","",IF(I54="一式",1,IFERROR(INDEX(見積入力!$D$16:$D$25,MATCH(A54,見積入力!$A$16:$A$25,0)),"ID未登録")))</f>
        <v/>
      </c>
      <c r="K54" s="13" t="str">
        <f t="shared" si="1"/>
        <v/>
      </c>
    </row>
    <row r="55" spans="1:11" ht="30" customHeight="1">
      <c r="A55" s="3"/>
      <c r="B55" s="3"/>
      <c r="C55" s="3"/>
      <c r="D55" s="12"/>
      <c r="E55" s="12"/>
      <c r="F55" s="7" t="str">
        <f t="shared" si="0"/>
        <v/>
      </c>
      <c r="G55" s="19"/>
      <c r="H55" s="16" t="str">
        <f>IF(COUNTA(A55:E55)+COUNTA(G55)+COUNTA(I55)=0,"",IF(OR(A55="",B55="",C55="",I55=""),"必須欄不足",IF(AND(A55&lt;&gt;"案件共通",COUNTIFS(見積入力!$A$16:$A$25,A55)&lt;&gt;1),"ID未登録・重複",IF(OR(AND(I55&lt;&gt;"数量連動",I55&lt;&gt;"一式"),AND(A55="案件共通",I55&lt;&gt;"一式")),"数量の扱い確認",IF(OR(NOT(ISNUMBER(D55)),NOT(ISNUMBER(K55)),AND(B55&lt;&gt;"生産原価",E55=""),D55="",NOT(ISNUMBER(J55))),"数値を入力",IF(OR(D55&lt;0,K55&lt;0,J55&lt;=0),"負数・数量確認","OK"))))))</f>
        <v/>
      </c>
      <c r="I55" s="3"/>
      <c r="J55" s="1" t="str">
        <f>IF(A55="","",IF(I55="一式",1,IFERROR(INDEX(見積入力!$D$16:$D$25,MATCH(A55,見積入力!$A$16:$A$25,0)),"ID未登録")))</f>
        <v/>
      </c>
      <c r="K55" s="13" t="str">
        <f t="shared" si="1"/>
        <v/>
      </c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5">
    <mergeCell ref="A2:J2"/>
    <mergeCell ref="D4:J4"/>
    <mergeCell ref="A6:J6"/>
    <mergeCell ref="A8:J8"/>
    <mergeCell ref="A13:J13"/>
  </mergeCells>
  <phoneticPr fontId="13"/>
  <conditionalFormatting sqref="H16:H55">
    <cfRule type="expression" dxfId="13" priority="1">
      <formula>AND(H16&lt;&gt;"",H16&lt;&gt;"OK")</formula>
    </cfRule>
  </conditionalFormatting>
  <dataValidations count="4">
    <dataValidation type="list" showErrorMessage="1" errorTitle="入力値を確認" error="指定された範囲・選択肢で入力してください。" sqref="B11" xr:uid="{00000000-0002-0000-0300-000000000000}">
      <formula1>"計上済み,単価に含む,今回は未算入"</formula1>
    </dataValidation>
    <dataValidation type="decimal" showErrorMessage="1" errorTitle="入力値を確認" error="指定された範囲・選択肢で入力してください。" sqref="D16:E55" xr:uid="{00000000-0002-0000-0300-000001000000}">
      <formula1>0</formula1>
      <formula2>1000000000000</formula2>
    </dataValidation>
    <dataValidation type="list" showErrorMessage="1" errorTitle="入力値を確認" error="指定された範囲・選択肢で入力してください。" sqref="I16:I55" xr:uid="{00000000-0002-0000-0300-000002000000}">
      <formula1>"数量連動,一式"</formula1>
    </dataValidation>
    <dataValidation type="list" showErrorMessage="1" errorTitle="入力値を確認" error="指定された範囲・選択肢で入力してください。" sqref="B16:B55" xr:uid="{00000000-0002-0000-0300-000003000000}">
      <formula1>"材料,作業,外注,配送,共通経費,生産原価,その他"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7988A"/>
  </sheetPr>
  <dimension ref="A1:N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  <col min="12" max="14" width="18" customWidth="1"/>
  </cols>
  <sheetData>
    <row r="1" spans="1:14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42" customHeight="1">
      <c r="A2" s="25" t="s">
        <v>103</v>
      </c>
      <c r="B2" s="25"/>
      <c r="C2" s="25"/>
      <c r="D2" s="25"/>
      <c r="E2" s="25"/>
      <c r="F2" s="25"/>
      <c r="G2" s="25"/>
      <c r="H2" s="25"/>
      <c r="I2" s="25"/>
      <c r="J2" s="25"/>
      <c r="K2" s="1"/>
    </row>
    <row r="3" spans="1:14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ht="24" customHeight="1">
      <c r="A4" s="1" t="s">
        <v>67</v>
      </c>
      <c r="B4" s="1" t="str">
        <f>採算シミュレーション!B5</f>
        <v>木工所</v>
      </c>
      <c r="C4" s="1"/>
      <c r="D4" s="23" t="str">
        <f>IF(B4="農家","この原価を採算計算に使用中","この原価は現在の採算計算に使われていません")</f>
        <v>この原価は現在の採算計算に使われていません</v>
      </c>
      <c r="E4" s="23"/>
      <c r="F4" s="23"/>
      <c r="G4" s="23"/>
      <c r="H4" s="23"/>
      <c r="I4" s="23"/>
      <c r="J4" s="23"/>
      <c r="K4" s="1"/>
      <c r="L4" s="10" t="s">
        <v>68</v>
      </c>
      <c r="M4" s="10"/>
      <c r="N4" s="10"/>
    </row>
    <row r="5" spans="1:14" ht="33" customHeight="1">
      <c r="A5" s="1" t="s">
        <v>104</v>
      </c>
      <c r="B5" s="3" t="s">
        <v>105</v>
      </c>
      <c r="C5" s="1"/>
      <c r="D5" s="1"/>
      <c r="E5" s="16" t="s">
        <v>106</v>
      </c>
      <c r="F5" s="6">
        <v>300000</v>
      </c>
      <c r="G5" s="1"/>
      <c r="H5" s="1"/>
      <c r="I5" s="1"/>
      <c r="J5" s="1"/>
      <c r="K5" s="1"/>
      <c r="L5" s="10" t="s">
        <v>69</v>
      </c>
      <c r="M5" s="10" t="str">
        <f>IF(COUNTIFS(H16:H55,"OK")=0,"原価明細なし",IF(SUMPRODUCT((H16:H55&lt;&gt;"")*(H16:H55&lt;&gt;"OK"))&gt;0,"原価明細を確認",IF(AND(B11&lt;&gt;"計上済み",B11&lt;&gt;"単価に含む",B11&lt;&gt;"今回は未算入"),"共通経費の扱い確認",IF(OR(COUNT(F5:F8)&lt;&gt;4,MIN(F5:F8)&lt;0,NOT(ISNUMBER(B7)),B7&lt;=0,B8=""),"生産費用・収穫量確認","OK"))))</f>
        <v>OK</v>
      </c>
      <c r="N5" s="10"/>
    </row>
    <row r="6" spans="1:14" ht="33" customHeight="1">
      <c r="A6" s="1" t="s">
        <v>107</v>
      </c>
      <c r="B6" s="13">
        <f>SUM(F5:F8)</f>
        <v>1000000</v>
      </c>
      <c r="C6" s="1"/>
      <c r="D6" s="1"/>
      <c r="E6" s="16" t="s">
        <v>108</v>
      </c>
      <c r="F6" s="6">
        <v>400000</v>
      </c>
      <c r="G6" s="1"/>
      <c r="H6" s="1"/>
      <c r="I6" s="1"/>
      <c r="J6" s="1"/>
      <c r="K6" s="1"/>
      <c r="L6" s="10" t="s">
        <v>20</v>
      </c>
      <c r="M6" s="10">
        <f>SUMIFS(F16:F55,A16:A55,"案件共通")</f>
        <v>10000</v>
      </c>
      <c r="N6" s="10"/>
    </row>
    <row r="7" spans="1:14" ht="33" customHeight="1">
      <c r="A7" s="1" t="s">
        <v>109</v>
      </c>
      <c r="B7" s="12">
        <v>5000</v>
      </c>
      <c r="C7" s="1"/>
      <c r="D7" s="1"/>
      <c r="E7" s="16" t="s">
        <v>110</v>
      </c>
      <c r="F7" s="6">
        <v>100000</v>
      </c>
      <c r="G7" s="1"/>
      <c r="H7" s="1"/>
      <c r="I7" s="1"/>
      <c r="J7" s="1"/>
      <c r="K7" s="1"/>
      <c r="L7" s="10" t="s">
        <v>71</v>
      </c>
      <c r="M7" s="10" t="str">
        <f>B11</f>
        <v>計上済み</v>
      </c>
      <c r="N7" s="10"/>
    </row>
    <row r="8" spans="1:14" ht="33" customHeight="1">
      <c r="A8" s="1" t="s">
        <v>111</v>
      </c>
      <c r="B8" s="12" t="s">
        <v>112</v>
      </c>
      <c r="C8" s="1"/>
      <c r="D8" s="1"/>
      <c r="E8" s="16" t="s">
        <v>113</v>
      </c>
      <c r="F8" s="6">
        <v>200000</v>
      </c>
      <c r="G8" s="1"/>
      <c r="H8" s="1"/>
      <c r="I8" s="1"/>
      <c r="J8" s="1"/>
      <c r="K8" s="1"/>
      <c r="L8" s="10"/>
      <c r="M8" s="10"/>
      <c r="N8" s="10"/>
    </row>
    <row r="9" spans="1:14" ht="24" customHeight="1">
      <c r="A9" s="1" t="s">
        <v>114</v>
      </c>
      <c r="B9" s="13">
        <f>IF(AND(COUNT(F5:F8)=4,MIN(F5:F8)&gt;=0,ISNUMBER(B7),B7&gt;0),B6/B7,"")</f>
        <v>200</v>
      </c>
      <c r="C9" s="1"/>
      <c r="D9" s="1"/>
      <c r="E9" s="1"/>
      <c r="F9" s="1"/>
      <c r="G9" s="1"/>
      <c r="H9" s="1"/>
      <c r="I9" s="1"/>
      <c r="J9" s="1"/>
      <c r="K9" s="1"/>
      <c r="L9" s="10"/>
      <c r="M9" s="10"/>
      <c r="N9" s="10"/>
    </row>
    <row r="10" spans="1:14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0"/>
      <c r="M10" s="10"/>
      <c r="N10" s="10"/>
    </row>
    <row r="11" spans="1:14" ht="24" customHeight="1">
      <c r="A11" s="1" t="s">
        <v>73</v>
      </c>
      <c r="B11" s="3" t="s">
        <v>115</v>
      </c>
      <c r="C11" s="1"/>
      <c r="D11" s="1"/>
      <c r="E11" s="1"/>
      <c r="F11" s="1"/>
      <c r="G11" s="1"/>
      <c r="H11" s="1"/>
      <c r="I11" s="1"/>
      <c r="J11" s="1"/>
      <c r="K11" s="1"/>
      <c r="L11" s="10"/>
      <c r="M11" s="10"/>
      <c r="N11" s="10"/>
    </row>
    <row r="12" spans="1:14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0"/>
      <c r="M12" s="10"/>
      <c r="N12" s="10"/>
    </row>
    <row r="13" spans="1:14" ht="32.1" customHeight="1">
      <c r="A13" s="24" t="s">
        <v>75</v>
      </c>
      <c r="B13" s="24"/>
      <c r="C13" s="24"/>
      <c r="D13" s="24"/>
      <c r="E13" s="24"/>
      <c r="F13" s="24"/>
      <c r="G13" s="24"/>
      <c r="H13" s="24"/>
      <c r="I13" s="24"/>
      <c r="J13" s="24"/>
      <c r="K13" s="1"/>
      <c r="L13" s="10"/>
      <c r="M13" s="10"/>
      <c r="N13" s="10"/>
    </row>
    <row r="14" spans="1:14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0"/>
      <c r="M14" s="10"/>
      <c r="N14" s="10"/>
    </row>
    <row r="15" spans="1:14" ht="30" customHeight="1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54</v>
      </c>
      <c r="I15" s="2" t="s">
        <v>83</v>
      </c>
      <c r="J15" s="2" t="s">
        <v>84</v>
      </c>
      <c r="K15" s="1" t="s">
        <v>85</v>
      </c>
      <c r="L15" s="11" t="s">
        <v>15</v>
      </c>
      <c r="M15" s="11" t="s">
        <v>17</v>
      </c>
      <c r="N15" s="11" t="s">
        <v>86</v>
      </c>
    </row>
    <row r="16" spans="1:14" ht="30" customHeight="1">
      <c r="A16" s="3" t="s">
        <v>55</v>
      </c>
      <c r="B16" s="3" t="s">
        <v>116</v>
      </c>
      <c r="C16" s="3" t="s">
        <v>117</v>
      </c>
      <c r="D16" s="12">
        <v>5</v>
      </c>
      <c r="E16" s="12"/>
      <c r="F16" s="7">
        <f t="shared" ref="F16:F55" si="0">IF(H16="OK",ROUND(D16*K16*J16,0),"")</f>
        <v>2000</v>
      </c>
      <c r="G16" s="19" t="s">
        <v>118</v>
      </c>
      <c r="H16" s="16" t="str">
        <f>IF(COUNTA(A16:E16)+COUNTA(G16)+COUNTA(I16)=0,"",IF(OR(A16="",B16="",C16="",I16=""),"必須欄不足",IF(AND(A16&lt;&gt;"案件共通",COUNTIFS(見積入力!$A$16:$A$25,A16)&lt;&gt;1),"ID未登録・重複",IF(OR(AND(I16&lt;&gt;"数量連動",I16&lt;&gt;"一式"),AND(A16="案件共通",I16&lt;&gt;"一式")),"数量の扱い確認",IF(OR(NOT(ISNUMBER(D16)),NOT(ISNUMBER(K16)),AND(B16&lt;&gt;"生産原価",E16=""),D16="",NOT(ISNUMBER(J16))),"数値を入力",IF(OR(D16&lt;0,K16&lt;0,J16&lt;=0),"負数・数量確認","OK"))))))</f>
        <v>OK</v>
      </c>
      <c r="I16" s="3" t="s">
        <v>90</v>
      </c>
      <c r="J16" s="1">
        <f>IF(A16="","",IF(I16="一式",1,IFERROR(INDEX(見積入力!$D$16:$D$25,MATCH(A16,見積入力!$A$16:$A$25,0)),"ID未登録")))</f>
        <v>2</v>
      </c>
      <c r="K16" s="13">
        <f t="shared" ref="K16:K55" si="1">IF(A16="","",IF(B16="生産原価",$B$9,E16))</f>
        <v>200</v>
      </c>
      <c r="L16" s="10" t="str">
        <f>IF(見積入力!A16="","",見積入力!A16)</f>
        <v>M001</v>
      </c>
      <c r="M16" s="10">
        <f t="shared" ref="M16:M25" si="2">IF(L16="","",SUMIFS($F$16:$F$55,$A$16:$A$55,L16))</f>
        <v>2600</v>
      </c>
      <c r="N16" s="10">
        <f t="shared" ref="N16:N25" si="3">IF(L16="","",COUNTIFS($A$16:$A$55,L16))</f>
        <v>3</v>
      </c>
    </row>
    <row r="17" spans="1:14" ht="30" customHeight="1">
      <c r="A17" s="3" t="s">
        <v>55</v>
      </c>
      <c r="B17" s="3" t="s">
        <v>87</v>
      </c>
      <c r="C17" s="3" t="s">
        <v>119</v>
      </c>
      <c r="D17" s="12">
        <v>1</v>
      </c>
      <c r="E17" s="12">
        <v>150</v>
      </c>
      <c r="F17" s="7">
        <f t="shared" si="0"/>
        <v>300</v>
      </c>
      <c r="G17" s="19" t="s">
        <v>120</v>
      </c>
      <c r="H17" s="16" t="str">
        <f>IF(COUNTA(A17:E17)+COUNTA(G17)+COUNTA(I17)=0,"",IF(OR(A17="",B17="",C17="",I17=""),"必須欄不足",IF(AND(A17&lt;&gt;"案件共通",COUNTIFS(見積入力!$A$16:$A$25,A17)&lt;&gt;1),"ID未登録・重複",IF(OR(AND(I17&lt;&gt;"数量連動",I17&lt;&gt;"一式"),AND(A17="案件共通",I17&lt;&gt;"一式")),"数量の扱い確認",IF(OR(NOT(ISNUMBER(D17)),NOT(ISNUMBER(K17)),AND(B17&lt;&gt;"生産原価",E17=""),D17="",NOT(ISNUMBER(J17))),"数値を入力",IF(OR(D17&lt;0,K17&lt;0,J17&lt;=0),"負数・数量確認","OK"))))))</f>
        <v>OK</v>
      </c>
      <c r="I17" s="3" t="s">
        <v>90</v>
      </c>
      <c r="J17" s="1">
        <f>IF(A17="","",IF(I17="一式",1,IFERROR(INDEX(見積入力!$D$16:$D$25,MATCH(A17,見積入力!$A$16:$A$25,0)),"ID未登録")))</f>
        <v>2</v>
      </c>
      <c r="K17" s="13">
        <f t="shared" si="1"/>
        <v>150</v>
      </c>
      <c r="L17" s="10" t="str">
        <f>IF(見積入力!A17="","",見積入力!A17)</f>
        <v>M002</v>
      </c>
      <c r="M17" s="10">
        <f t="shared" si="2"/>
        <v>0</v>
      </c>
      <c r="N17" s="10">
        <f t="shared" si="3"/>
        <v>0</v>
      </c>
    </row>
    <row r="18" spans="1:14" ht="30" customHeight="1">
      <c r="A18" s="3" t="s">
        <v>55</v>
      </c>
      <c r="B18" s="3" t="s">
        <v>91</v>
      </c>
      <c r="C18" s="3" t="s">
        <v>121</v>
      </c>
      <c r="D18" s="12">
        <v>0.1</v>
      </c>
      <c r="E18" s="12">
        <v>1500</v>
      </c>
      <c r="F18" s="7">
        <f t="shared" si="0"/>
        <v>300</v>
      </c>
      <c r="G18" s="19" t="s">
        <v>122</v>
      </c>
      <c r="H18" s="16" t="str">
        <f>IF(COUNTA(A18:E18)+COUNTA(G18)+COUNTA(I18)=0,"",IF(OR(A18="",B18="",C18="",I18=""),"必須欄不足",IF(AND(A18&lt;&gt;"案件共通",COUNTIFS(見積入力!$A$16:$A$25,A18)&lt;&gt;1),"ID未登録・重複",IF(OR(AND(I18&lt;&gt;"数量連動",I18&lt;&gt;"一式"),AND(A18="案件共通",I18&lt;&gt;"一式")),"数量の扱い確認",IF(OR(NOT(ISNUMBER(D18)),NOT(ISNUMBER(K18)),AND(B18&lt;&gt;"生産原価",E18=""),D18="",NOT(ISNUMBER(J18))),"数値を入力",IF(OR(D18&lt;0,K18&lt;0,J18&lt;=0),"負数・数量確認","OK"))))))</f>
        <v>OK</v>
      </c>
      <c r="I18" s="3" t="s">
        <v>90</v>
      </c>
      <c r="J18" s="1">
        <f>IF(A18="","",IF(I18="一式",1,IFERROR(INDEX(見積入力!$D$16:$D$25,MATCH(A18,見積入力!$A$16:$A$25,0)),"ID未登録")))</f>
        <v>2</v>
      </c>
      <c r="K18" s="13">
        <f t="shared" si="1"/>
        <v>1500</v>
      </c>
      <c r="L18" s="10" t="str">
        <f>IF(見積入力!A18="","",見積入力!A18)</f>
        <v/>
      </c>
      <c r="M18" s="10" t="str">
        <f t="shared" si="2"/>
        <v/>
      </c>
      <c r="N18" s="10" t="str">
        <f t="shared" si="3"/>
        <v/>
      </c>
    </row>
    <row r="19" spans="1:14" ht="30" customHeight="1">
      <c r="A19" s="3" t="s">
        <v>98</v>
      </c>
      <c r="B19" s="3" t="s">
        <v>99</v>
      </c>
      <c r="C19" s="3" t="s">
        <v>123</v>
      </c>
      <c r="D19" s="12">
        <v>1</v>
      </c>
      <c r="E19" s="12">
        <v>10000</v>
      </c>
      <c r="F19" s="7">
        <f t="shared" si="0"/>
        <v>10000</v>
      </c>
      <c r="G19" s="19" t="s">
        <v>124</v>
      </c>
      <c r="H19" s="16" t="str">
        <f>IF(COUNTA(A19:E19)+COUNTA(G19)+COUNTA(I19)=0,"",IF(OR(A19="",B19="",C19="",I19=""),"必須欄不足",IF(AND(A19&lt;&gt;"案件共通",COUNTIFS(見積入力!$A$16:$A$25,A19)&lt;&gt;1),"ID未登録・重複",IF(OR(AND(I19&lt;&gt;"数量連動",I19&lt;&gt;"一式"),AND(A19="案件共通",I19&lt;&gt;"一式")),"数量の扱い確認",IF(OR(NOT(ISNUMBER(D19)),NOT(ISNUMBER(K19)),AND(B19&lt;&gt;"生産原価",E19=""),D19="",NOT(ISNUMBER(J19))),"数値を入力",IF(OR(D19&lt;0,K19&lt;0,J19&lt;=0),"負数・数量確認","OK"))))))</f>
        <v>OK</v>
      </c>
      <c r="I19" s="3" t="s">
        <v>102</v>
      </c>
      <c r="J19" s="1">
        <f>IF(A19="","",IF(I19="一式",1,IFERROR(INDEX(見積入力!$D$16:$D$25,MATCH(A19,見積入力!$A$16:$A$25,0)),"ID未登録")))</f>
        <v>1</v>
      </c>
      <c r="K19" s="13">
        <f t="shared" si="1"/>
        <v>10000</v>
      </c>
      <c r="L19" s="10" t="str">
        <f>IF(見積入力!A19="","",見積入力!A19)</f>
        <v/>
      </c>
      <c r="M19" s="10" t="str">
        <f t="shared" si="2"/>
        <v/>
      </c>
      <c r="N19" s="10" t="str">
        <f t="shared" si="3"/>
        <v/>
      </c>
    </row>
    <row r="20" spans="1:14" ht="30" customHeight="1">
      <c r="A20" s="3"/>
      <c r="B20" s="3"/>
      <c r="C20" s="3"/>
      <c r="D20" s="12"/>
      <c r="E20" s="12"/>
      <c r="F20" s="7" t="str">
        <f t="shared" si="0"/>
        <v/>
      </c>
      <c r="G20" s="19"/>
      <c r="H20" s="16" t="str">
        <f>IF(COUNTA(A20:E20)+COUNTA(G20)+COUNTA(I20)=0,"",IF(OR(A20="",B20="",C20="",I20=""),"必須欄不足",IF(AND(A20&lt;&gt;"案件共通",COUNTIFS(見積入力!$A$16:$A$25,A20)&lt;&gt;1),"ID未登録・重複",IF(OR(AND(I20&lt;&gt;"数量連動",I20&lt;&gt;"一式"),AND(A20="案件共通",I20&lt;&gt;"一式")),"数量の扱い確認",IF(OR(NOT(ISNUMBER(D20)),NOT(ISNUMBER(K20)),AND(B20&lt;&gt;"生産原価",E20=""),D20="",NOT(ISNUMBER(J20))),"数値を入力",IF(OR(D20&lt;0,K20&lt;0,J20&lt;=0),"負数・数量確認","OK"))))))</f>
        <v/>
      </c>
      <c r="I20" s="3"/>
      <c r="J20" s="1" t="str">
        <f>IF(A20="","",IF(I20="一式",1,IFERROR(INDEX(見積入力!$D$16:$D$25,MATCH(A20,見積入力!$A$16:$A$25,0)),"ID未登録")))</f>
        <v/>
      </c>
      <c r="K20" s="13" t="str">
        <f t="shared" si="1"/>
        <v/>
      </c>
      <c r="L20" s="10" t="str">
        <f>IF(見積入力!A20="","",見積入力!A20)</f>
        <v/>
      </c>
      <c r="M20" s="10" t="str">
        <f t="shared" si="2"/>
        <v/>
      </c>
      <c r="N20" s="10" t="str">
        <f t="shared" si="3"/>
        <v/>
      </c>
    </row>
    <row r="21" spans="1:14" ht="30" customHeight="1">
      <c r="A21" s="3"/>
      <c r="B21" s="3"/>
      <c r="C21" s="3"/>
      <c r="D21" s="12"/>
      <c r="E21" s="12"/>
      <c r="F21" s="7" t="str">
        <f t="shared" si="0"/>
        <v/>
      </c>
      <c r="G21" s="19"/>
      <c r="H21" s="16" t="str">
        <f>IF(COUNTA(A21:E21)+COUNTA(G21)+COUNTA(I21)=0,"",IF(OR(A21="",B21="",C21="",I21=""),"必須欄不足",IF(AND(A21&lt;&gt;"案件共通",COUNTIFS(見積入力!$A$16:$A$25,A21)&lt;&gt;1),"ID未登録・重複",IF(OR(AND(I21&lt;&gt;"数量連動",I21&lt;&gt;"一式"),AND(A21="案件共通",I21&lt;&gt;"一式")),"数量の扱い確認",IF(OR(NOT(ISNUMBER(D21)),NOT(ISNUMBER(K21)),AND(B21&lt;&gt;"生産原価",E21=""),D21="",NOT(ISNUMBER(J21))),"数値を入力",IF(OR(D21&lt;0,K21&lt;0,J21&lt;=0),"負数・数量確認","OK"))))))</f>
        <v/>
      </c>
      <c r="I21" s="3"/>
      <c r="J21" s="1" t="str">
        <f>IF(A21="","",IF(I21="一式",1,IFERROR(INDEX(見積入力!$D$16:$D$25,MATCH(A21,見積入力!$A$16:$A$25,0)),"ID未登録")))</f>
        <v/>
      </c>
      <c r="K21" s="13" t="str">
        <f t="shared" si="1"/>
        <v/>
      </c>
      <c r="L21" s="10" t="str">
        <f>IF(見積入力!A21="","",見積入力!A21)</f>
        <v/>
      </c>
      <c r="M21" s="10" t="str">
        <f t="shared" si="2"/>
        <v/>
      </c>
      <c r="N21" s="10" t="str">
        <f t="shared" si="3"/>
        <v/>
      </c>
    </row>
    <row r="22" spans="1:14" ht="30" customHeight="1">
      <c r="A22" s="3"/>
      <c r="B22" s="3"/>
      <c r="C22" s="3"/>
      <c r="D22" s="12"/>
      <c r="E22" s="12"/>
      <c r="F22" s="7" t="str">
        <f t="shared" si="0"/>
        <v/>
      </c>
      <c r="G22" s="19"/>
      <c r="H22" s="16" t="str">
        <f>IF(COUNTA(A22:E22)+COUNTA(G22)+COUNTA(I22)=0,"",IF(OR(A22="",B22="",C22="",I22=""),"必須欄不足",IF(AND(A22&lt;&gt;"案件共通",COUNTIFS(見積入力!$A$16:$A$25,A22)&lt;&gt;1),"ID未登録・重複",IF(OR(AND(I22&lt;&gt;"数量連動",I22&lt;&gt;"一式"),AND(A22="案件共通",I22&lt;&gt;"一式")),"数量の扱い確認",IF(OR(NOT(ISNUMBER(D22)),NOT(ISNUMBER(K22)),AND(B22&lt;&gt;"生産原価",E22=""),D22="",NOT(ISNUMBER(J22))),"数値を入力",IF(OR(D22&lt;0,K22&lt;0,J22&lt;=0),"負数・数量確認","OK"))))))</f>
        <v/>
      </c>
      <c r="I22" s="3"/>
      <c r="J22" s="1" t="str">
        <f>IF(A22="","",IF(I22="一式",1,IFERROR(INDEX(見積入力!$D$16:$D$25,MATCH(A22,見積入力!$A$16:$A$25,0)),"ID未登録")))</f>
        <v/>
      </c>
      <c r="K22" s="13" t="str">
        <f t="shared" si="1"/>
        <v/>
      </c>
      <c r="L22" s="10" t="str">
        <f>IF(見積入力!A22="","",見積入力!A22)</f>
        <v/>
      </c>
      <c r="M22" s="10" t="str">
        <f t="shared" si="2"/>
        <v/>
      </c>
      <c r="N22" s="10" t="str">
        <f t="shared" si="3"/>
        <v/>
      </c>
    </row>
    <row r="23" spans="1:14" ht="30" customHeight="1">
      <c r="A23" s="3"/>
      <c r="B23" s="3"/>
      <c r="C23" s="3"/>
      <c r="D23" s="12"/>
      <c r="E23" s="12"/>
      <c r="F23" s="7" t="str">
        <f t="shared" si="0"/>
        <v/>
      </c>
      <c r="G23" s="19"/>
      <c r="H23" s="16" t="str">
        <f>IF(COUNTA(A23:E23)+COUNTA(G23)+COUNTA(I23)=0,"",IF(OR(A23="",B23="",C23="",I23=""),"必須欄不足",IF(AND(A23&lt;&gt;"案件共通",COUNTIFS(見積入力!$A$16:$A$25,A23)&lt;&gt;1),"ID未登録・重複",IF(OR(AND(I23&lt;&gt;"数量連動",I23&lt;&gt;"一式"),AND(A23="案件共通",I23&lt;&gt;"一式")),"数量の扱い確認",IF(OR(NOT(ISNUMBER(D23)),NOT(ISNUMBER(K23)),AND(B23&lt;&gt;"生産原価",E23=""),D23="",NOT(ISNUMBER(J23))),"数値を入力",IF(OR(D23&lt;0,K23&lt;0,J23&lt;=0),"負数・数量確認","OK"))))))</f>
        <v/>
      </c>
      <c r="I23" s="3"/>
      <c r="J23" s="1" t="str">
        <f>IF(A23="","",IF(I23="一式",1,IFERROR(INDEX(見積入力!$D$16:$D$25,MATCH(A23,見積入力!$A$16:$A$25,0)),"ID未登録")))</f>
        <v/>
      </c>
      <c r="K23" s="13" t="str">
        <f t="shared" si="1"/>
        <v/>
      </c>
      <c r="L23" s="10" t="str">
        <f>IF(見積入力!A23="","",見積入力!A23)</f>
        <v/>
      </c>
      <c r="M23" s="10" t="str">
        <f t="shared" si="2"/>
        <v/>
      </c>
      <c r="N23" s="10" t="str">
        <f t="shared" si="3"/>
        <v/>
      </c>
    </row>
    <row r="24" spans="1:14" ht="30" customHeight="1">
      <c r="A24" s="3"/>
      <c r="B24" s="3"/>
      <c r="C24" s="3"/>
      <c r="D24" s="12"/>
      <c r="E24" s="12"/>
      <c r="F24" s="7" t="str">
        <f t="shared" si="0"/>
        <v/>
      </c>
      <c r="G24" s="19"/>
      <c r="H24" s="16" t="str">
        <f>IF(COUNTA(A24:E24)+COUNTA(G24)+COUNTA(I24)=0,"",IF(OR(A24="",B24="",C24="",I24=""),"必須欄不足",IF(AND(A24&lt;&gt;"案件共通",COUNTIFS(見積入力!$A$16:$A$25,A24)&lt;&gt;1),"ID未登録・重複",IF(OR(AND(I24&lt;&gt;"数量連動",I24&lt;&gt;"一式"),AND(A24="案件共通",I24&lt;&gt;"一式")),"数量の扱い確認",IF(OR(NOT(ISNUMBER(D24)),NOT(ISNUMBER(K24)),AND(B24&lt;&gt;"生産原価",E24=""),D24="",NOT(ISNUMBER(J24))),"数値を入力",IF(OR(D24&lt;0,K24&lt;0,J24&lt;=0),"負数・数量確認","OK"))))))</f>
        <v/>
      </c>
      <c r="I24" s="3"/>
      <c r="J24" s="1" t="str">
        <f>IF(A24="","",IF(I24="一式",1,IFERROR(INDEX(見積入力!$D$16:$D$25,MATCH(A24,見積入力!$A$16:$A$25,0)),"ID未登録")))</f>
        <v/>
      </c>
      <c r="K24" s="13" t="str">
        <f t="shared" si="1"/>
        <v/>
      </c>
      <c r="L24" s="10" t="str">
        <f>IF(見積入力!A24="","",見積入力!A24)</f>
        <v/>
      </c>
      <c r="M24" s="10" t="str">
        <f t="shared" si="2"/>
        <v/>
      </c>
      <c r="N24" s="10" t="str">
        <f t="shared" si="3"/>
        <v/>
      </c>
    </row>
    <row r="25" spans="1:14" ht="30" customHeight="1">
      <c r="A25" s="3"/>
      <c r="B25" s="3"/>
      <c r="C25" s="3"/>
      <c r="D25" s="12"/>
      <c r="E25" s="12"/>
      <c r="F25" s="7" t="str">
        <f t="shared" si="0"/>
        <v/>
      </c>
      <c r="G25" s="19"/>
      <c r="H25" s="16" t="str">
        <f>IF(COUNTA(A25:E25)+COUNTA(G25)+COUNTA(I25)=0,"",IF(OR(A25="",B25="",C25="",I25=""),"必須欄不足",IF(AND(A25&lt;&gt;"案件共通",COUNTIFS(見積入力!$A$16:$A$25,A25)&lt;&gt;1),"ID未登録・重複",IF(OR(AND(I25&lt;&gt;"数量連動",I25&lt;&gt;"一式"),AND(A25="案件共通",I25&lt;&gt;"一式")),"数量の扱い確認",IF(OR(NOT(ISNUMBER(D25)),NOT(ISNUMBER(K25)),AND(B25&lt;&gt;"生産原価",E25=""),D25="",NOT(ISNUMBER(J25))),"数値を入力",IF(OR(D25&lt;0,K25&lt;0,J25&lt;=0),"負数・数量確認","OK"))))))</f>
        <v/>
      </c>
      <c r="I25" s="3"/>
      <c r="J25" s="1" t="str">
        <f>IF(A25="","",IF(I25="一式",1,IFERROR(INDEX(見積入力!$D$16:$D$25,MATCH(A25,見積入力!$A$16:$A$25,0)),"ID未登録")))</f>
        <v/>
      </c>
      <c r="K25" s="13" t="str">
        <f t="shared" si="1"/>
        <v/>
      </c>
      <c r="L25" s="10" t="str">
        <f>IF(見積入力!A25="","",見積入力!A25)</f>
        <v/>
      </c>
      <c r="M25" s="10" t="str">
        <f t="shared" si="2"/>
        <v/>
      </c>
      <c r="N25" s="10" t="str">
        <f t="shared" si="3"/>
        <v/>
      </c>
    </row>
    <row r="26" spans="1:14" ht="30" customHeight="1">
      <c r="A26" s="3"/>
      <c r="B26" s="3"/>
      <c r="C26" s="3"/>
      <c r="D26" s="12"/>
      <c r="E26" s="12"/>
      <c r="F26" s="7" t="str">
        <f t="shared" si="0"/>
        <v/>
      </c>
      <c r="G26" s="19"/>
      <c r="H26" s="16" t="str">
        <f>IF(COUNTA(A26:E26)+COUNTA(G26)+COUNTA(I26)=0,"",IF(OR(A26="",B26="",C26="",I26=""),"必須欄不足",IF(AND(A26&lt;&gt;"案件共通",COUNTIFS(見積入力!$A$16:$A$25,A26)&lt;&gt;1),"ID未登録・重複",IF(OR(AND(I26&lt;&gt;"数量連動",I26&lt;&gt;"一式"),AND(A26="案件共通",I26&lt;&gt;"一式")),"数量の扱い確認",IF(OR(NOT(ISNUMBER(D26)),NOT(ISNUMBER(K26)),AND(B26&lt;&gt;"生産原価",E26=""),D26="",NOT(ISNUMBER(J26))),"数値を入力",IF(OR(D26&lt;0,K26&lt;0,J26&lt;=0),"負数・数量確認","OK"))))))</f>
        <v/>
      </c>
      <c r="I26" s="3"/>
      <c r="J26" s="1" t="str">
        <f>IF(A26="","",IF(I26="一式",1,IFERROR(INDEX(見積入力!$D$16:$D$25,MATCH(A26,見積入力!$A$16:$A$25,0)),"ID未登録")))</f>
        <v/>
      </c>
      <c r="K26" s="13" t="str">
        <f t="shared" si="1"/>
        <v/>
      </c>
    </row>
    <row r="27" spans="1:14" ht="30" customHeight="1">
      <c r="A27" s="3"/>
      <c r="B27" s="3"/>
      <c r="C27" s="3"/>
      <c r="D27" s="12"/>
      <c r="E27" s="12"/>
      <c r="F27" s="7" t="str">
        <f t="shared" si="0"/>
        <v/>
      </c>
      <c r="G27" s="19"/>
      <c r="H27" s="16" t="str">
        <f>IF(COUNTA(A27:E27)+COUNTA(G27)+COUNTA(I27)=0,"",IF(OR(A27="",B27="",C27="",I27=""),"必須欄不足",IF(AND(A27&lt;&gt;"案件共通",COUNTIFS(見積入力!$A$16:$A$25,A27)&lt;&gt;1),"ID未登録・重複",IF(OR(AND(I27&lt;&gt;"数量連動",I27&lt;&gt;"一式"),AND(A27="案件共通",I27&lt;&gt;"一式")),"数量の扱い確認",IF(OR(NOT(ISNUMBER(D27)),NOT(ISNUMBER(K27)),AND(B27&lt;&gt;"生産原価",E27=""),D27="",NOT(ISNUMBER(J27))),"数値を入力",IF(OR(D27&lt;0,K27&lt;0,J27&lt;=0),"負数・数量確認","OK"))))))</f>
        <v/>
      </c>
      <c r="I27" s="3"/>
      <c r="J27" s="1" t="str">
        <f>IF(A27="","",IF(I27="一式",1,IFERROR(INDEX(見積入力!$D$16:$D$25,MATCH(A27,見積入力!$A$16:$A$25,0)),"ID未登録")))</f>
        <v/>
      </c>
      <c r="K27" s="13" t="str">
        <f t="shared" si="1"/>
        <v/>
      </c>
    </row>
    <row r="28" spans="1:14" ht="30" customHeight="1">
      <c r="A28" s="3"/>
      <c r="B28" s="3"/>
      <c r="C28" s="3"/>
      <c r="D28" s="12"/>
      <c r="E28" s="12"/>
      <c r="F28" s="7" t="str">
        <f t="shared" si="0"/>
        <v/>
      </c>
      <c r="G28" s="19"/>
      <c r="H28" s="16" t="str">
        <f>IF(COUNTA(A28:E28)+COUNTA(G28)+COUNTA(I28)=0,"",IF(OR(A28="",B28="",C28="",I28=""),"必須欄不足",IF(AND(A28&lt;&gt;"案件共通",COUNTIFS(見積入力!$A$16:$A$25,A28)&lt;&gt;1),"ID未登録・重複",IF(OR(AND(I28&lt;&gt;"数量連動",I28&lt;&gt;"一式"),AND(A28="案件共通",I28&lt;&gt;"一式")),"数量の扱い確認",IF(OR(NOT(ISNUMBER(D28)),NOT(ISNUMBER(K28)),AND(B28&lt;&gt;"生産原価",E28=""),D28="",NOT(ISNUMBER(J28))),"数値を入力",IF(OR(D28&lt;0,K28&lt;0,J28&lt;=0),"負数・数量確認","OK"))))))</f>
        <v/>
      </c>
      <c r="I28" s="3"/>
      <c r="J28" s="1" t="str">
        <f>IF(A28="","",IF(I28="一式",1,IFERROR(INDEX(見積入力!$D$16:$D$25,MATCH(A28,見積入力!$A$16:$A$25,0)),"ID未登録")))</f>
        <v/>
      </c>
      <c r="K28" s="13" t="str">
        <f t="shared" si="1"/>
        <v/>
      </c>
    </row>
    <row r="29" spans="1:14" ht="30" customHeight="1">
      <c r="A29" s="3"/>
      <c r="B29" s="3"/>
      <c r="C29" s="3"/>
      <c r="D29" s="12"/>
      <c r="E29" s="12"/>
      <c r="F29" s="7" t="str">
        <f t="shared" si="0"/>
        <v/>
      </c>
      <c r="G29" s="19"/>
      <c r="H29" s="16" t="str">
        <f>IF(COUNTA(A29:E29)+COUNTA(G29)+COUNTA(I29)=0,"",IF(OR(A29="",B29="",C29="",I29=""),"必須欄不足",IF(AND(A29&lt;&gt;"案件共通",COUNTIFS(見積入力!$A$16:$A$25,A29)&lt;&gt;1),"ID未登録・重複",IF(OR(AND(I29&lt;&gt;"数量連動",I29&lt;&gt;"一式"),AND(A29="案件共通",I29&lt;&gt;"一式")),"数量の扱い確認",IF(OR(NOT(ISNUMBER(D29)),NOT(ISNUMBER(K29)),AND(B29&lt;&gt;"生産原価",E29=""),D29="",NOT(ISNUMBER(J29))),"数値を入力",IF(OR(D29&lt;0,K29&lt;0,J29&lt;=0),"負数・数量確認","OK"))))))</f>
        <v/>
      </c>
      <c r="I29" s="3"/>
      <c r="J29" s="1" t="str">
        <f>IF(A29="","",IF(I29="一式",1,IFERROR(INDEX(見積入力!$D$16:$D$25,MATCH(A29,見積入力!$A$16:$A$25,0)),"ID未登録")))</f>
        <v/>
      </c>
      <c r="K29" s="13" t="str">
        <f t="shared" si="1"/>
        <v/>
      </c>
    </row>
    <row r="30" spans="1:14" ht="30" customHeight="1">
      <c r="A30" s="3"/>
      <c r="B30" s="3"/>
      <c r="C30" s="3"/>
      <c r="D30" s="12"/>
      <c r="E30" s="12"/>
      <c r="F30" s="7" t="str">
        <f t="shared" si="0"/>
        <v/>
      </c>
      <c r="G30" s="19"/>
      <c r="H30" s="16" t="str">
        <f>IF(COUNTA(A30:E30)+COUNTA(G30)+COUNTA(I30)=0,"",IF(OR(A30="",B30="",C30="",I30=""),"必須欄不足",IF(AND(A30&lt;&gt;"案件共通",COUNTIFS(見積入力!$A$16:$A$25,A30)&lt;&gt;1),"ID未登録・重複",IF(OR(AND(I30&lt;&gt;"数量連動",I30&lt;&gt;"一式"),AND(A30="案件共通",I30&lt;&gt;"一式")),"数量の扱い確認",IF(OR(NOT(ISNUMBER(D30)),NOT(ISNUMBER(K30)),AND(B30&lt;&gt;"生産原価",E30=""),D30="",NOT(ISNUMBER(J30))),"数値を入力",IF(OR(D30&lt;0,K30&lt;0,J30&lt;=0),"負数・数量確認","OK"))))))</f>
        <v/>
      </c>
      <c r="I30" s="3"/>
      <c r="J30" s="1" t="str">
        <f>IF(A30="","",IF(I30="一式",1,IFERROR(INDEX(見積入力!$D$16:$D$25,MATCH(A30,見積入力!$A$16:$A$25,0)),"ID未登録")))</f>
        <v/>
      </c>
      <c r="K30" s="13" t="str">
        <f t="shared" si="1"/>
        <v/>
      </c>
    </row>
    <row r="31" spans="1:14" ht="30" customHeight="1">
      <c r="A31" s="3"/>
      <c r="B31" s="3"/>
      <c r="C31" s="3"/>
      <c r="D31" s="12"/>
      <c r="E31" s="12"/>
      <c r="F31" s="7" t="str">
        <f t="shared" si="0"/>
        <v/>
      </c>
      <c r="G31" s="19"/>
      <c r="H31" s="16" t="str">
        <f>IF(COUNTA(A31:E31)+COUNTA(G31)+COUNTA(I31)=0,"",IF(OR(A31="",B31="",C31="",I31=""),"必須欄不足",IF(AND(A31&lt;&gt;"案件共通",COUNTIFS(見積入力!$A$16:$A$25,A31)&lt;&gt;1),"ID未登録・重複",IF(OR(AND(I31&lt;&gt;"数量連動",I31&lt;&gt;"一式"),AND(A31="案件共通",I31&lt;&gt;"一式")),"数量の扱い確認",IF(OR(NOT(ISNUMBER(D31)),NOT(ISNUMBER(K31)),AND(B31&lt;&gt;"生産原価",E31=""),D31="",NOT(ISNUMBER(J31))),"数値を入力",IF(OR(D31&lt;0,K31&lt;0,J31&lt;=0),"負数・数量確認","OK"))))))</f>
        <v/>
      </c>
      <c r="I31" s="3"/>
      <c r="J31" s="1" t="str">
        <f>IF(A31="","",IF(I31="一式",1,IFERROR(INDEX(見積入力!$D$16:$D$25,MATCH(A31,見積入力!$A$16:$A$25,0)),"ID未登録")))</f>
        <v/>
      </c>
      <c r="K31" s="13" t="str">
        <f t="shared" si="1"/>
        <v/>
      </c>
    </row>
    <row r="32" spans="1:14" ht="30" customHeight="1">
      <c r="A32" s="3"/>
      <c r="B32" s="3"/>
      <c r="C32" s="3"/>
      <c r="D32" s="12"/>
      <c r="E32" s="12"/>
      <c r="F32" s="7" t="str">
        <f t="shared" si="0"/>
        <v/>
      </c>
      <c r="G32" s="19"/>
      <c r="H32" s="16" t="str">
        <f>IF(COUNTA(A32:E32)+COUNTA(G32)+COUNTA(I32)=0,"",IF(OR(A32="",B32="",C32="",I32=""),"必須欄不足",IF(AND(A32&lt;&gt;"案件共通",COUNTIFS(見積入力!$A$16:$A$25,A32)&lt;&gt;1),"ID未登録・重複",IF(OR(AND(I32&lt;&gt;"数量連動",I32&lt;&gt;"一式"),AND(A32="案件共通",I32&lt;&gt;"一式")),"数量の扱い確認",IF(OR(NOT(ISNUMBER(D32)),NOT(ISNUMBER(K32)),AND(B32&lt;&gt;"生産原価",E32=""),D32="",NOT(ISNUMBER(J32))),"数値を入力",IF(OR(D32&lt;0,K32&lt;0,J32&lt;=0),"負数・数量確認","OK"))))))</f>
        <v/>
      </c>
      <c r="I32" s="3"/>
      <c r="J32" s="1" t="str">
        <f>IF(A32="","",IF(I32="一式",1,IFERROR(INDEX(見積入力!$D$16:$D$25,MATCH(A32,見積入力!$A$16:$A$25,0)),"ID未登録")))</f>
        <v/>
      </c>
      <c r="K32" s="13" t="str">
        <f t="shared" si="1"/>
        <v/>
      </c>
    </row>
    <row r="33" spans="1:11" ht="30" customHeight="1">
      <c r="A33" s="3"/>
      <c r="B33" s="3"/>
      <c r="C33" s="3"/>
      <c r="D33" s="12"/>
      <c r="E33" s="12"/>
      <c r="F33" s="7" t="str">
        <f t="shared" si="0"/>
        <v/>
      </c>
      <c r="G33" s="19"/>
      <c r="H33" s="16" t="str">
        <f>IF(COUNTA(A33:E33)+COUNTA(G33)+COUNTA(I33)=0,"",IF(OR(A33="",B33="",C33="",I33=""),"必須欄不足",IF(AND(A33&lt;&gt;"案件共通",COUNTIFS(見積入力!$A$16:$A$25,A33)&lt;&gt;1),"ID未登録・重複",IF(OR(AND(I33&lt;&gt;"数量連動",I33&lt;&gt;"一式"),AND(A33="案件共通",I33&lt;&gt;"一式")),"数量の扱い確認",IF(OR(NOT(ISNUMBER(D33)),NOT(ISNUMBER(K33)),AND(B33&lt;&gt;"生産原価",E33=""),D33="",NOT(ISNUMBER(J33))),"数値を入力",IF(OR(D33&lt;0,K33&lt;0,J33&lt;=0),"負数・数量確認","OK"))))))</f>
        <v/>
      </c>
      <c r="I33" s="3"/>
      <c r="J33" s="1" t="str">
        <f>IF(A33="","",IF(I33="一式",1,IFERROR(INDEX(見積入力!$D$16:$D$25,MATCH(A33,見積入力!$A$16:$A$25,0)),"ID未登録")))</f>
        <v/>
      </c>
      <c r="K33" s="13" t="str">
        <f t="shared" si="1"/>
        <v/>
      </c>
    </row>
    <row r="34" spans="1:11" ht="30" customHeight="1">
      <c r="A34" s="3"/>
      <c r="B34" s="3"/>
      <c r="C34" s="3"/>
      <c r="D34" s="12"/>
      <c r="E34" s="12"/>
      <c r="F34" s="7" t="str">
        <f t="shared" si="0"/>
        <v/>
      </c>
      <c r="G34" s="19"/>
      <c r="H34" s="16" t="str">
        <f>IF(COUNTA(A34:E34)+COUNTA(G34)+COUNTA(I34)=0,"",IF(OR(A34="",B34="",C34="",I34=""),"必須欄不足",IF(AND(A34&lt;&gt;"案件共通",COUNTIFS(見積入力!$A$16:$A$25,A34)&lt;&gt;1),"ID未登録・重複",IF(OR(AND(I34&lt;&gt;"数量連動",I34&lt;&gt;"一式"),AND(A34="案件共通",I34&lt;&gt;"一式")),"数量の扱い確認",IF(OR(NOT(ISNUMBER(D34)),NOT(ISNUMBER(K34)),AND(B34&lt;&gt;"生産原価",E34=""),D34="",NOT(ISNUMBER(J34))),"数値を入力",IF(OR(D34&lt;0,K34&lt;0,J34&lt;=0),"負数・数量確認","OK"))))))</f>
        <v/>
      </c>
      <c r="I34" s="3"/>
      <c r="J34" s="1" t="str">
        <f>IF(A34="","",IF(I34="一式",1,IFERROR(INDEX(見積入力!$D$16:$D$25,MATCH(A34,見積入力!$A$16:$A$25,0)),"ID未登録")))</f>
        <v/>
      </c>
      <c r="K34" s="13" t="str">
        <f t="shared" si="1"/>
        <v/>
      </c>
    </row>
    <row r="35" spans="1:11" ht="30" customHeight="1">
      <c r="A35" s="3"/>
      <c r="B35" s="3"/>
      <c r="C35" s="3"/>
      <c r="D35" s="12"/>
      <c r="E35" s="12"/>
      <c r="F35" s="7" t="str">
        <f t="shared" si="0"/>
        <v/>
      </c>
      <c r="G35" s="19"/>
      <c r="H35" s="16" t="str">
        <f>IF(COUNTA(A35:E35)+COUNTA(G35)+COUNTA(I35)=0,"",IF(OR(A35="",B35="",C35="",I35=""),"必須欄不足",IF(AND(A35&lt;&gt;"案件共通",COUNTIFS(見積入力!$A$16:$A$25,A35)&lt;&gt;1),"ID未登録・重複",IF(OR(AND(I35&lt;&gt;"数量連動",I35&lt;&gt;"一式"),AND(A35="案件共通",I35&lt;&gt;"一式")),"数量の扱い確認",IF(OR(NOT(ISNUMBER(D35)),NOT(ISNUMBER(K35)),AND(B35&lt;&gt;"生産原価",E35=""),D35="",NOT(ISNUMBER(J35))),"数値を入力",IF(OR(D35&lt;0,K35&lt;0,J35&lt;=0),"負数・数量確認","OK"))))))</f>
        <v/>
      </c>
      <c r="I35" s="3"/>
      <c r="J35" s="1" t="str">
        <f>IF(A35="","",IF(I35="一式",1,IFERROR(INDEX(見積入力!$D$16:$D$25,MATCH(A35,見積入力!$A$16:$A$25,0)),"ID未登録")))</f>
        <v/>
      </c>
      <c r="K35" s="13" t="str">
        <f t="shared" si="1"/>
        <v/>
      </c>
    </row>
    <row r="36" spans="1:11" ht="30" customHeight="1">
      <c r="A36" s="3"/>
      <c r="B36" s="3"/>
      <c r="C36" s="3"/>
      <c r="D36" s="12"/>
      <c r="E36" s="12"/>
      <c r="F36" s="7" t="str">
        <f t="shared" si="0"/>
        <v/>
      </c>
      <c r="G36" s="19"/>
      <c r="H36" s="16" t="str">
        <f>IF(COUNTA(A36:E36)+COUNTA(G36)+COUNTA(I36)=0,"",IF(OR(A36="",B36="",C36="",I36=""),"必須欄不足",IF(AND(A36&lt;&gt;"案件共通",COUNTIFS(見積入力!$A$16:$A$25,A36)&lt;&gt;1),"ID未登録・重複",IF(OR(AND(I36&lt;&gt;"数量連動",I36&lt;&gt;"一式"),AND(A36="案件共通",I36&lt;&gt;"一式")),"数量の扱い確認",IF(OR(NOT(ISNUMBER(D36)),NOT(ISNUMBER(K36)),AND(B36&lt;&gt;"生産原価",E36=""),D36="",NOT(ISNUMBER(J36))),"数値を入力",IF(OR(D36&lt;0,K36&lt;0,J36&lt;=0),"負数・数量確認","OK"))))))</f>
        <v/>
      </c>
      <c r="I36" s="3"/>
      <c r="J36" s="1" t="str">
        <f>IF(A36="","",IF(I36="一式",1,IFERROR(INDEX(見積入力!$D$16:$D$25,MATCH(A36,見積入力!$A$16:$A$25,0)),"ID未登録")))</f>
        <v/>
      </c>
      <c r="K36" s="13" t="str">
        <f t="shared" si="1"/>
        <v/>
      </c>
    </row>
    <row r="37" spans="1:11" ht="30" customHeight="1">
      <c r="A37" s="3"/>
      <c r="B37" s="3"/>
      <c r="C37" s="3"/>
      <c r="D37" s="12"/>
      <c r="E37" s="12"/>
      <c r="F37" s="7" t="str">
        <f t="shared" si="0"/>
        <v/>
      </c>
      <c r="G37" s="19"/>
      <c r="H37" s="16" t="str">
        <f>IF(COUNTA(A37:E37)+COUNTA(G37)+COUNTA(I37)=0,"",IF(OR(A37="",B37="",C37="",I37=""),"必須欄不足",IF(AND(A37&lt;&gt;"案件共通",COUNTIFS(見積入力!$A$16:$A$25,A37)&lt;&gt;1),"ID未登録・重複",IF(OR(AND(I37&lt;&gt;"数量連動",I37&lt;&gt;"一式"),AND(A37="案件共通",I37&lt;&gt;"一式")),"数量の扱い確認",IF(OR(NOT(ISNUMBER(D37)),NOT(ISNUMBER(K37)),AND(B37&lt;&gt;"生産原価",E37=""),D37="",NOT(ISNUMBER(J37))),"数値を入力",IF(OR(D37&lt;0,K37&lt;0,J37&lt;=0),"負数・数量確認","OK"))))))</f>
        <v/>
      </c>
      <c r="I37" s="3"/>
      <c r="J37" s="1" t="str">
        <f>IF(A37="","",IF(I37="一式",1,IFERROR(INDEX(見積入力!$D$16:$D$25,MATCH(A37,見積入力!$A$16:$A$25,0)),"ID未登録")))</f>
        <v/>
      </c>
      <c r="K37" s="13" t="str">
        <f t="shared" si="1"/>
        <v/>
      </c>
    </row>
    <row r="38" spans="1:11" ht="30" customHeight="1">
      <c r="A38" s="3"/>
      <c r="B38" s="3"/>
      <c r="C38" s="3"/>
      <c r="D38" s="12"/>
      <c r="E38" s="12"/>
      <c r="F38" s="7" t="str">
        <f t="shared" si="0"/>
        <v/>
      </c>
      <c r="G38" s="19"/>
      <c r="H38" s="16" t="str">
        <f>IF(COUNTA(A38:E38)+COUNTA(G38)+COUNTA(I38)=0,"",IF(OR(A38="",B38="",C38="",I38=""),"必須欄不足",IF(AND(A38&lt;&gt;"案件共通",COUNTIFS(見積入力!$A$16:$A$25,A38)&lt;&gt;1),"ID未登録・重複",IF(OR(AND(I38&lt;&gt;"数量連動",I38&lt;&gt;"一式"),AND(A38="案件共通",I38&lt;&gt;"一式")),"数量の扱い確認",IF(OR(NOT(ISNUMBER(D38)),NOT(ISNUMBER(K38)),AND(B38&lt;&gt;"生産原価",E38=""),D38="",NOT(ISNUMBER(J38))),"数値を入力",IF(OR(D38&lt;0,K38&lt;0,J38&lt;=0),"負数・数量確認","OK"))))))</f>
        <v/>
      </c>
      <c r="I38" s="3"/>
      <c r="J38" s="1" t="str">
        <f>IF(A38="","",IF(I38="一式",1,IFERROR(INDEX(見積入力!$D$16:$D$25,MATCH(A38,見積入力!$A$16:$A$25,0)),"ID未登録")))</f>
        <v/>
      </c>
      <c r="K38" s="13" t="str">
        <f t="shared" si="1"/>
        <v/>
      </c>
    </row>
    <row r="39" spans="1:11" ht="30" customHeight="1">
      <c r="A39" s="3"/>
      <c r="B39" s="3"/>
      <c r="C39" s="3"/>
      <c r="D39" s="12"/>
      <c r="E39" s="12"/>
      <c r="F39" s="7" t="str">
        <f t="shared" si="0"/>
        <v/>
      </c>
      <c r="G39" s="19"/>
      <c r="H39" s="16" t="str">
        <f>IF(COUNTA(A39:E39)+COUNTA(G39)+COUNTA(I39)=0,"",IF(OR(A39="",B39="",C39="",I39=""),"必須欄不足",IF(AND(A39&lt;&gt;"案件共通",COUNTIFS(見積入力!$A$16:$A$25,A39)&lt;&gt;1),"ID未登録・重複",IF(OR(AND(I39&lt;&gt;"数量連動",I39&lt;&gt;"一式"),AND(A39="案件共通",I39&lt;&gt;"一式")),"数量の扱い確認",IF(OR(NOT(ISNUMBER(D39)),NOT(ISNUMBER(K39)),AND(B39&lt;&gt;"生産原価",E39=""),D39="",NOT(ISNUMBER(J39))),"数値を入力",IF(OR(D39&lt;0,K39&lt;0,J39&lt;=0),"負数・数量確認","OK"))))))</f>
        <v/>
      </c>
      <c r="I39" s="3"/>
      <c r="J39" s="1" t="str">
        <f>IF(A39="","",IF(I39="一式",1,IFERROR(INDEX(見積入力!$D$16:$D$25,MATCH(A39,見積入力!$A$16:$A$25,0)),"ID未登録")))</f>
        <v/>
      </c>
      <c r="K39" s="13" t="str">
        <f t="shared" si="1"/>
        <v/>
      </c>
    </row>
    <row r="40" spans="1:11" ht="30" customHeight="1">
      <c r="A40" s="3"/>
      <c r="B40" s="3"/>
      <c r="C40" s="3"/>
      <c r="D40" s="12"/>
      <c r="E40" s="12"/>
      <c r="F40" s="7" t="str">
        <f t="shared" si="0"/>
        <v/>
      </c>
      <c r="G40" s="19"/>
      <c r="H40" s="16" t="str">
        <f>IF(COUNTA(A40:E40)+COUNTA(G40)+COUNTA(I40)=0,"",IF(OR(A40="",B40="",C40="",I40=""),"必須欄不足",IF(AND(A40&lt;&gt;"案件共通",COUNTIFS(見積入力!$A$16:$A$25,A40)&lt;&gt;1),"ID未登録・重複",IF(OR(AND(I40&lt;&gt;"数量連動",I40&lt;&gt;"一式"),AND(A40="案件共通",I40&lt;&gt;"一式")),"数量の扱い確認",IF(OR(NOT(ISNUMBER(D40)),NOT(ISNUMBER(K40)),AND(B40&lt;&gt;"生産原価",E40=""),D40="",NOT(ISNUMBER(J40))),"数値を入力",IF(OR(D40&lt;0,K40&lt;0,J40&lt;=0),"負数・数量確認","OK"))))))</f>
        <v/>
      </c>
      <c r="I40" s="3"/>
      <c r="J40" s="1" t="str">
        <f>IF(A40="","",IF(I40="一式",1,IFERROR(INDEX(見積入力!$D$16:$D$25,MATCH(A40,見積入力!$A$16:$A$25,0)),"ID未登録")))</f>
        <v/>
      </c>
      <c r="K40" s="13" t="str">
        <f t="shared" si="1"/>
        <v/>
      </c>
    </row>
    <row r="41" spans="1:11" ht="30" customHeight="1">
      <c r="A41" s="3"/>
      <c r="B41" s="3"/>
      <c r="C41" s="3"/>
      <c r="D41" s="12"/>
      <c r="E41" s="12"/>
      <c r="F41" s="7" t="str">
        <f t="shared" si="0"/>
        <v/>
      </c>
      <c r="G41" s="19"/>
      <c r="H41" s="16" t="str">
        <f>IF(COUNTA(A41:E41)+COUNTA(G41)+COUNTA(I41)=0,"",IF(OR(A41="",B41="",C41="",I41=""),"必須欄不足",IF(AND(A41&lt;&gt;"案件共通",COUNTIFS(見積入力!$A$16:$A$25,A41)&lt;&gt;1),"ID未登録・重複",IF(OR(AND(I41&lt;&gt;"数量連動",I41&lt;&gt;"一式"),AND(A41="案件共通",I41&lt;&gt;"一式")),"数量の扱い確認",IF(OR(NOT(ISNUMBER(D41)),NOT(ISNUMBER(K41)),AND(B41&lt;&gt;"生産原価",E41=""),D41="",NOT(ISNUMBER(J41))),"数値を入力",IF(OR(D41&lt;0,K41&lt;0,J41&lt;=0),"負数・数量確認","OK"))))))</f>
        <v/>
      </c>
      <c r="I41" s="3"/>
      <c r="J41" s="1" t="str">
        <f>IF(A41="","",IF(I41="一式",1,IFERROR(INDEX(見積入力!$D$16:$D$25,MATCH(A41,見積入力!$A$16:$A$25,0)),"ID未登録")))</f>
        <v/>
      </c>
      <c r="K41" s="13" t="str">
        <f t="shared" si="1"/>
        <v/>
      </c>
    </row>
    <row r="42" spans="1:11" ht="30" customHeight="1">
      <c r="A42" s="3"/>
      <c r="B42" s="3"/>
      <c r="C42" s="3"/>
      <c r="D42" s="12"/>
      <c r="E42" s="12"/>
      <c r="F42" s="7" t="str">
        <f t="shared" si="0"/>
        <v/>
      </c>
      <c r="G42" s="19"/>
      <c r="H42" s="16" t="str">
        <f>IF(COUNTA(A42:E42)+COUNTA(G42)+COUNTA(I42)=0,"",IF(OR(A42="",B42="",C42="",I42=""),"必須欄不足",IF(AND(A42&lt;&gt;"案件共通",COUNTIFS(見積入力!$A$16:$A$25,A42)&lt;&gt;1),"ID未登録・重複",IF(OR(AND(I42&lt;&gt;"数量連動",I42&lt;&gt;"一式"),AND(A42="案件共通",I42&lt;&gt;"一式")),"数量の扱い確認",IF(OR(NOT(ISNUMBER(D42)),NOT(ISNUMBER(K42)),AND(B42&lt;&gt;"生産原価",E42=""),D42="",NOT(ISNUMBER(J42))),"数値を入力",IF(OR(D42&lt;0,K42&lt;0,J42&lt;=0),"負数・数量確認","OK"))))))</f>
        <v/>
      </c>
      <c r="I42" s="3"/>
      <c r="J42" s="1" t="str">
        <f>IF(A42="","",IF(I42="一式",1,IFERROR(INDEX(見積入力!$D$16:$D$25,MATCH(A42,見積入力!$A$16:$A$25,0)),"ID未登録")))</f>
        <v/>
      </c>
      <c r="K42" s="13" t="str">
        <f t="shared" si="1"/>
        <v/>
      </c>
    </row>
    <row r="43" spans="1:11" ht="30" customHeight="1">
      <c r="A43" s="3"/>
      <c r="B43" s="3"/>
      <c r="C43" s="3"/>
      <c r="D43" s="12"/>
      <c r="E43" s="12"/>
      <c r="F43" s="7" t="str">
        <f t="shared" si="0"/>
        <v/>
      </c>
      <c r="G43" s="19"/>
      <c r="H43" s="16" t="str">
        <f>IF(COUNTA(A43:E43)+COUNTA(G43)+COUNTA(I43)=0,"",IF(OR(A43="",B43="",C43="",I43=""),"必須欄不足",IF(AND(A43&lt;&gt;"案件共通",COUNTIFS(見積入力!$A$16:$A$25,A43)&lt;&gt;1),"ID未登録・重複",IF(OR(AND(I43&lt;&gt;"数量連動",I43&lt;&gt;"一式"),AND(A43="案件共通",I43&lt;&gt;"一式")),"数量の扱い確認",IF(OR(NOT(ISNUMBER(D43)),NOT(ISNUMBER(K43)),AND(B43&lt;&gt;"生産原価",E43=""),D43="",NOT(ISNUMBER(J43))),"数値を入力",IF(OR(D43&lt;0,K43&lt;0,J43&lt;=0),"負数・数量確認","OK"))))))</f>
        <v/>
      </c>
      <c r="I43" s="3"/>
      <c r="J43" s="1" t="str">
        <f>IF(A43="","",IF(I43="一式",1,IFERROR(INDEX(見積入力!$D$16:$D$25,MATCH(A43,見積入力!$A$16:$A$25,0)),"ID未登録")))</f>
        <v/>
      </c>
      <c r="K43" s="13" t="str">
        <f t="shared" si="1"/>
        <v/>
      </c>
    </row>
    <row r="44" spans="1:11" ht="30" customHeight="1">
      <c r="A44" s="3"/>
      <c r="B44" s="3"/>
      <c r="C44" s="3"/>
      <c r="D44" s="12"/>
      <c r="E44" s="12"/>
      <c r="F44" s="7" t="str">
        <f t="shared" si="0"/>
        <v/>
      </c>
      <c r="G44" s="19"/>
      <c r="H44" s="16" t="str">
        <f>IF(COUNTA(A44:E44)+COUNTA(G44)+COUNTA(I44)=0,"",IF(OR(A44="",B44="",C44="",I44=""),"必須欄不足",IF(AND(A44&lt;&gt;"案件共通",COUNTIFS(見積入力!$A$16:$A$25,A44)&lt;&gt;1),"ID未登録・重複",IF(OR(AND(I44&lt;&gt;"数量連動",I44&lt;&gt;"一式"),AND(A44="案件共通",I44&lt;&gt;"一式")),"数量の扱い確認",IF(OR(NOT(ISNUMBER(D44)),NOT(ISNUMBER(K44)),AND(B44&lt;&gt;"生産原価",E44=""),D44="",NOT(ISNUMBER(J44))),"数値を入力",IF(OR(D44&lt;0,K44&lt;0,J44&lt;=0),"負数・数量確認","OK"))))))</f>
        <v/>
      </c>
      <c r="I44" s="3"/>
      <c r="J44" s="1" t="str">
        <f>IF(A44="","",IF(I44="一式",1,IFERROR(INDEX(見積入力!$D$16:$D$25,MATCH(A44,見積入力!$A$16:$A$25,0)),"ID未登録")))</f>
        <v/>
      </c>
      <c r="K44" s="13" t="str">
        <f t="shared" si="1"/>
        <v/>
      </c>
    </row>
    <row r="45" spans="1:11" ht="30" customHeight="1">
      <c r="A45" s="3"/>
      <c r="B45" s="3"/>
      <c r="C45" s="3"/>
      <c r="D45" s="12"/>
      <c r="E45" s="12"/>
      <c r="F45" s="7" t="str">
        <f t="shared" si="0"/>
        <v/>
      </c>
      <c r="G45" s="19"/>
      <c r="H45" s="16" t="str">
        <f>IF(COUNTA(A45:E45)+COUNTA(G45)+COUNTA(I45)=0,"",IF(OR(A45="",B45="",C45="",I45=""),"必須欄不足",IF(AND(A45&lt;&gt;"案件共通",COUNTIFS(見積入力!$A$16:$A$25,A45)&lt;&gt;1),"ID未登録・重複",IF(OR(AND(I45&lt;&gt;"数量連動",I45&lt;&gt;"一式"),AND(A45="案件共通",I45&lt;&gt;"一式")),"数量の扱い確認",IF(OR(NOT(ISNUMBER(D45)),NOT(ISNUMBER(K45)),AND(B45&lt;&gt;"生産原価",E45=""),D45="",NOT(ISNUMBER(J45))),"数値を入力",IF(OR(D45&lt;0,K45&lt;0,J45&lt;=0),"負数・数量確認","OK"))))))</f>
        <v/>
      </c>
      <c r="I45" s="3"/>
      <c r="J45" s="1" t="str">
        <f>IF(A45="","",IF(I45="一式",1,IFERROR(INDEX(見積入力!$D$16:$D$25,MATCH(A45,見積入力!$A$16:$A$25,0)),"ID未登録")))</f>
        <v/>
      </c>
      <c r="K45" s="13" t="str">
        <f t="shared" si="1"/>
        <v/>
      </c>
    </row>
    <row r="46" spans="1:11" ht="30" customHeight="1">
      <c r="A46" s="3"/>
      <c r="B46" s="3"/>
      <c r="C46" s="3"/>
      <c r="D46" s="12"/>
      <c r="E46" s="12"/>
      <c r="F46" s="7" t="str">
        <f t="shared" si="0"/>
        <v/>
      </c>
      <c r="G46" s="19"/>
      <c r="H46" s="16" t="str">
        <f>IF(COUNTA(A46:E46)+COUNTA(G46)+COUNTA(I46)=0,"",IF(OR(A46="",B46="",C46="",I46=""),"必須欄不足",IF(AND(A46&lt;&gt;"案件共通",COUNTIFS(見積入力!$A$16:$A$25,A46)&lt;&gt;1),"ID未登録・重複",IF(OR(AND(I46&lt;&gt;"数量連動",I46&lt;&gt;"一式"),AND(A46="案件共通",I46&lt;&gt;"一式")),"数量の扱い確認",IF(OR(NOT(ISNUMBER(D46)),NOT(ISNUMBER(K46)),AND(B46&lt;&gt;"生産原価",E46=""),D46="",NOT(ISNUMBER(J46))),"数値を入力",IF(OR(D46&lt;0,K46&lt;0,J46&lt;=0),"負数・数量確認","OK"))))))</f>
        <v/>
      </c>
      <c r="I46" s="3"/>
      <c r="J46" s="1" t="str">
        <f>IF(A46="","",IF(I46="一式",1,IFERROR(INDEX(見積入力!$D$16:$D$25,MATCH(A46,見積入力!$A$16:$A$25,0)),"ID未登録")))</f>
        <v/>
      </c>
      <c r="K46" s="13" t="str">
        <f t="shared" si="1"/>
        <v/>
      </c>
    </row>
    <row r="47" spans="1:11" ht="30" customHeight="1">
      <c r="A47" s="3"/>
      <c r="B47" s="3"/>
      <c r="C47" s="3"/>
      <c r="D47" s="12"/>
      <c r="E47" s="12"/>
      <c r="F47" s="7" t="str">
        <f t="shared" si="0"/>
        <v/>
      </c>
      <c r="G47" s="19"/>
      <c r="H47" s="16" t="str">
        <f>IF(COUNTA(A47:E47)+COUNTA(G47)+COUNTA(I47)=0,"",IF(OR(A47="",B47="",C47="",I47=""),"必須欄不足",IF(AND(A47&lt;&gt;"案件共通",COUNTIFS(見積入力!$A$16:$A$25,A47)&lt;&gt;1),"ID未登録・重複",IF(OR(AND(I47&lt;&gt;"数量連動",I47&lt;&gt;"一式"),AND(A47="案件共通",I47&lt;&gt;"一式")),"数量の扱い確認",IF(OR(NOT(ISNUMBER(D47)),NOT(ISNUMBER(K47)),AND(B47&lt;&gt;"生産原価",E47=""),D47="",NOT(ISNUMBER(J47))),"数値を入力",IF(OR(D47&lt;0,K47&lt;0,J47&lt;=0),"負数・数量確認","OK"))))))</f>
        <v/>
      </c>
      <c r="I47" s="3"/>
      <c r="J47" s="1" t="str">
        <f>IF(A47="","",IF(I47="一式",1,IFERROR(INDEX(見積入力!$D$16:$D$25,MATCH(A47,見積入力!$A$16:$A$25,0)),"ID未登録")))</f>
        <v/>
      </c>
      <c r="K47" s="13" t="str">
        <f t="shared" si="1"/>
        <v/>
      </c>
    </row>
    <row r="48" spans="1:11" ht="30" customHeight="1">
      <c r="A48" s="3"/>
      <c r="B48" s="3"/>
      <c r="C48" s="3"/>
      <c r="D48" s="12"/>
      <c r="E48" s="12"/>
      <c r="F48" s="7" t="str">
        <f t="shared" si="0"/>
        <v/>
      </c>
      <c r="G48" s="19"/>
      <c r="H48" s="16" t="str">
        <f>IF(COUNTA(A48:E48)+COUNTA(G48)+COUNTA(I48)=0,"",IF(OR(A48="",B48="",C48="",I48=""),"必須欄不足",IF(AND(A48&lt;&gt;"案件共通",COUNTIFS(見積入力!$A$16:$A$25,A48)&lt;&gt;1),"ID未登録・重複",IF(OR(AND(I48&lt;&gt;"数量連動",I48&lt;&gt;"一式"),AND(A48="案件共通",I48&lt;&gt;"一式")),"数量の扱い確認",IF(OR(NOT(ISNUMBER(D48)),NOT(ISNUMBER(K48)),AND(B48&lt;&gt;"生産原価",E48=""),D48="",NOT(ISNUMBER(J48))),"数値を入力",IF(OR(D48&lt;0,K48&lt;0,J48&lt;=0),"負数・数量確認","OK"))))))</f>
        <v/>
      </c>
      <c r="I48" s="3"/>
      <c r="J48" s="1" t="str">
        <f>IF(A48="","",IF(I48="一式",1,IFERROR(INDEX(見積入力!$D$16:$D$25,MATCH(A48,見積入力!$A$16:$A$25,0)),"ID未登録")))</f>
        <v/>
      </c>
      <c r="K48" s="13" t="str">
        <f t="shared" si="1"/>
        <v/>
      </c>
    </row>
    <row r="49" spans="1:11" ht="30" customHeight="1">
      <c r="A49" s="3"/>
      <c r="B49" s="3"/>
      <c r="C49" s="3"/>
      <c r="D49" s="12"/>
      <c r="E49" s="12"/>
      <c r="F49" s="7" t="str">
        <f t="shared" si="0"/>
        <v/>
      </c>
      <c r="G49" s="19"/>
      <c r="H49" s="16" t="str">
        <f>IF(COUNTA(A49:E49)+COUNTA(G49)+COUNTA(I49)=0,"",IF(OR(A49="",B49="",C49="",I49=""),"必須欄不足",IF(AND(A49&lt;&gt;"案件共通",COUNTIFS(見積入力!$A$16:$A$25,A49)&lt;&gt;1),"ID未登録・重複",IF(OR(AND(I49&lt;&gt;"数量連動",I49&lt;&gt;"一式"),AND(A49="案件共通",I49&lt;&gt;"一式")),"数量の扱い確認",IF(OR(NOT(ISNUMBER(D49)),NOT(ISNUMBER(K49)),AND(B49&lt;&gt;"生産原価",E49=""),D49="",NOT(ISNUMBER(J49))),"数値を入力",IF(OR(D49&lt;0,K49&lt;0,J49&lt;=0),"負数・数量確認","OK"))))))</f>
        <v/>
      </c>
      <c r="I49" s="3"/>
      <c r="J49" s="1" t="str">
        <f>IF(A49="","",IF(I49="一式",1,IFERROR(INDEX(見積入力!$D$16:$D$25,MATCH(A49,見積入力!$A$16:$A$25,0)),"ID未登録")))</f>
        <v/>
      </c>
      <c r="K49" s="13" t="str">
        <f t="shared" si="1"/>
        <v/>
      </c>
    </row>
    <row r="50" spans="1:11" ht="30" customHeight="1">
      <c r="A50" s="3"/>
      <c r="B50" s="3"/>
      <c r="C50" s="3"/>
      <c r="D50" s="12"/>
      <c r="E50" s="12"/>
      <c r="F50" s="7" t="str">
        <f t="shared" si="0"/>
        <v/>
      </c>
      <c r="G50" s="19"/>
      <c r="H50" s="16" t="str">
        <f>IF(COUNTA(A50:E50)+COUNTA(G50)+COUNTA(I50)=0,"",IF(OR(A50="",B50="",C50="",I50=""),"必須欄不足",IF(AND(A50&lt;&gt;"案件共通",COUNTIFS(見積入力!$A$16:$A$25,A50)&lt;&gt;1),"ID未登録・重複",IF(OR(AND(I50&lt;&gt;"数量連動",I50&lt;&gt;"一式"),AND(A50="案件共通",I50&lt;&gt;"一式")),"数量の扱い確認",IF(OR(NOT(ISNUMBER(D50)),NOT(ISNUMBER(K50)),AND(B50&lt;&gt;"生産原価",E50=""),D50="",NOT(ISNUMBER(J50))),"数値を入力",IF(OR(D50&lt;0,K50&lt;0,J50&lt;=0),"負数・数量確認","OK"))))))</f>
        <v/>
      </c>
      <c r="I50" s="3"/>
      <c r="J50" s="1" t="str">
        <f>IF(A50="","",IF(I50="一式",1,IFERROR(INDEX(見積入力!$D$16:$D$25,MATCH(A50,見積入力!$A$16:$A$25,0)),"ID未登録")))</f>
        <v/>
      </c>
      <c r="K50" s="13" t="str">
        <f t="shared" si="1"/>
        <v/>
      </c>
    </row>
    <row r="51" spans="1:11" ht="30" customHeight="1">
      <c r="A51" s="3"/>
      <c r="B51" s="3"/>
      <c r="C51" s="3"/>
      <c r="D51" s="12"/>
      <c r="E51" s="12"/>
      <c r="F51" s="7" t="str">
        <f t="shared" si="0"/>
        <v/>
      </c>
      <c r="G51" s="19"/>
      <c r="H51" s="16" t="str">
        <f>IF(COUNTA(A51:E51)+COUNTA(G51)+COUNTA(I51)=0,"",IF(OR(A51="",B51="",C51="",I51=""),"必須欄不足",IF(AND(A51&lt;&gt;"案件共通",COUNTIFS(見積入力!$A$16:$A$25,A51)&lt;&gt;1),"ID未登録・重複",IF(OR(AND(I51&lt;&gt;"数量連動",I51&lt;&gt;"一式"),AND(A51="案件共通",I51&lt;&gt;"一式")),"数量の扱い確認",IF(OR(NOT(ISNUMBER(D51)),NOT(ISNUMBER(K51)),AND(B51&lt;&gt;"生産原価",E51=""),D51="",NOT(ISNUMBER(J51))),"数値を入力",IF(OR(D51&lt;0,K51&lt;0,J51&lt;=0),"負数・数量確認","OK"))))))</f>
        <v/>
      </c>
      <c r="I51" s="3"/>
      <c r="J51" s="1" t="str">
        <f>IF(A51="","",IF(I51="一式",1,IFERROR(INDEX(見積入力!$D$16:$D$25,MATCH(A51,見積入力!$A$16:$A$25,0)),"ID未登録")))</f>
        <v/>
      </c>
      <c r="K51" s="13" t="str">
        <f t="shared" si="1"/>
        <v/>
      </c>
    </row>
    <row r="52" spans="1:11" ht="30" customHeight="1">
      <c r="A52" s="3"/>
      <c r="B52" s="3"/>
      <c r="C52" s="3"/>
      <c r="D52" s="12"/>
      <c r="E52" s="12"/>
      <c r="F52" s="7" t="str">
        <f t="shared" si="0"/>
        <v/>
      </c>
      <c r="G52" s="19"/>
      <c r="H52" s="16" t="str">
        <f>IF(COUNTA(A52:E52)+COUNTA(G52)+COUNTA(I52)=0,"",IF(OR(A52="",B52="",C52="",I52=""),"必須欄不足",IF(AND(A52&lt;&gt;"案件共通",COUNTIFS(見積入力!$A$16:$A$25,A52)&lt;&gt;1),"ID未登録・重複",IF(OR(AND(I52&lt;&gt;"数量連動",I52&lt;&gt;"一式"),AND(A52="案件共通",I52&lt;&gt;"一式")),"数量の扱い確認",IF(OR(NOT(ISNUMBER(D52)),NOT(ISNUMBER(K52)),AND(B52&lt;&gt;"生産原価",E52=""),D52="",NOT(ISNUMBER(J52))),"数値を入力",IF(OR(D52&lt;0,K52&lt;0,J52&lt;=0),"負数・数量確認","OK"))))))</f>
        <v/>
      </c>
      <c r="I52" s="3"/>
      <c r="J52" s="1" t="str">
        <f>IF(A52="","",IF(I52="一式",1,IFERROR(INDEX(見積入力!$D$16:$D$25,MATCH(A52,見積入力!$A$16:$A$25,0)),"ID未登録")))</f>
        <v/>
      </c>
      <c r="K52" s="13" t="str">
        <f t="shared" si="1"/>
        <v/>
      </c>
    </row>
    <row r="53" spans="1:11" ht="30" customHeight="1">
      <c r="A53" s="3"/>
      <c r="B53" s="3"/>
      <c r="C53" s="3"/>
      <c r="D53" s="12"/>
      <c r="E53" s="12"/>
      <c r="F53" s="7" t="str">
        <f t="shared" si="0"/>
        <v/>
      </c>
      <c r="G53" s="19"/>
      <c r="H53" s="16" t="str">
        <f>IF(COUNTA(A53:E53)+COUNTA(G53)+COUNTA(I53)=0,"",IF(OR(A53="",B53="",C53="",I53=""),"必須欄不足",IF(AND(A53&lt;&gt;"案件共通",COUNTIFS(見積入力!$A$16:$A$25,A53)&lt;&gt;1),"ID未登録・重複",IF(OR(AND(I53&lt;&gt;"数量連動",I53&lt;&gt;"一式"),AND(A53="案件共通",I53&lt;&gt;"一式")),"数量の扱い確認",IF(OR(NOT(ISNUMBER(D53)),NOT(ISNUMBER(K53)),AND(B53&lt;&gt;"生産原価",E53=""),D53="",NOT(ISNUMBER(J53))),"数値を入力",IF(OR(D53&lt;0,K53&lt;0,J53&lt;=0),"負数・数量確認","OK"))))))</f>
        <v/>
      </c>
      <c r="I53" s="3"/>
      <c r="J53" s="1" t="str">
        <f>IF(A53="","",IF(I53="一式",1,IFERROR(INDEX(見積入力!$D$16:$D$25,MATCH(A53,見積入力!$A$16:$A$25,0)),"ID未登録")))</f>
        <v/>
      </c>
      <c r="K53" s="13" t="str">
        <f t="shared" si="1"/>
        <v/>
      </c>
    </row>
    <row r="54" spans="1:11" ht="30" customHeight="1">
      <c r="A54" s="3"/>
      <c r="B54" s="3"/>
      <c r="C54" s="3"/>
      <c r="D54" s="12"/>
      <c r="E54" s="12"/>
      <c r="F54" s="7" t="str">
        <f t="shared" si="0"/>
        <v/>
      </c>
      <c r="G54" s="19"/>
      <c r="H54" s="16" t="str">
        <f>IF(COUNTA(A54:E54)+COUNTA(G54)+COUNTA(I54)=0,"",IF(OR(A54="",B54="",C54="",I54=""),"必須欄不足",IF(AND(A54&lt;&gt;"案件共通",COUNTIFS(見積入力!$A$16:$A$25,A54)&lt;&gt;1),"ID未登録・重複",IF(OR(AND(I54&lt;&gt;"数量連動",I54&lt;&gt;"一式"),AND(A54="案件共通",I54&lt;&gt;"一式")),"数量の扱い確認",IF(OR(NOT(ISNUMBER(D54)),NOT(ISNUMBER(K54)),AND(B54&lt;&gt;"生産原価",E54=""),D54="",NOT(ISNUMBER(J54))),"数値を入力",IF(OR(D54&lt;0,K54&lt;0,J54&lt;=0),"負数・数量確認","OK"))))))</f>
        <v/>
      </c>
      <c r="I54" s="3"/>
      <c r="J54" s="1" t="str">
        <f>IF(A54="","",IF(I54="一式",1,IFERROR(INDEX(見積入力!$D$16:$D$25,MATCH(A54,見積入力!$A$16:$A$25,0)),"ID未登録")))</f>
        <v/>
      </c>
      <c r="K54" s="13" t="str">
        <f t="shared" si="1"/>
        <v/>
      </c>
    </row>
    <row r="55" spans="1:11" ht="30" customHeight="1">
      <c r="A55" s="3"/>
      <c r="B55" s="3"/>
      <c r="C55" s="3"/>
      <c r="D55" s="12"/>
      <c r="E55" s="12"/>
      <c r="F55" s="7" t="str">
        <f t="shared" si="0"/>
        <v/>
      </c>
      <c r="G55" s="19"/>
      <c r="H55" s="16" t="str">
        <f>IF(COUNTA(A55:E55)+COUNTA(G55)+COUNTA(I55)=0,"",IF(OR(A55="",B55="",C55="",I55=""),"必須欄不足",IF(AND(A55&lt;&gt;"案件共通",COUNTIFS(見積入力!$A$16:$A$25,A55)&lt;&gt;1),"ID未登録・重複",IF(OR(AND(I55&lt;&gt;"数量連動",I55&lt;&gt;"一式"),AND(A55="案件共通",I55&lt;&gt;"一式")),"数量の扱い確認",IF(OR(NOT(ISNUMBER(D55)),NOT(ISNUMBER(K55)),AND(B55&lt;&gt;"生産原価",E55=""),D55="",NOT(ISNUMBER(J55))),"数値を入力",IF(OR(D55&lt;0,K55&lt;0,J55&lt;=0),"負数・数量確認","OK"))))))</f>
        <v/>
      </c>
      <c r="I55" s="3"/>
      <c r="J55" s="1" t="str">
        <f>IF(A55="","",IF(I55="一式",1,IFERROR(INDEX(見積入力!$D$16:$D$25,MATCH(A55,見積入力!$A$16:$A$25,0)),"ID未登録")))</f>
        <v/>
      </c>
      <c r="K55" s="13" t="str">
        <f t="shared" si="1"/>
        <v/>
      </c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3">
    <mergeCell ref="A2:J2"/>
    <mergeCell ref="D4:J4"/>
    <mergeCell ref="A13:J13"/>
  </mergeCells>
  <phoneticPr fontId="13"/>
  <conditionalFormatting sqref="H16:H55">
    <cfRule type="expression" dxfId="12" priority="1">
      <formula>AND(H16&lt;&gt;"",H16&lt;&gt;"OK")</formula>
    </cfRule>
  </conditionalFormatting>
  <dataValidations count="5">
    <dataValidation type="list" showErrorMessage="1" errorTitle="入力値を確認" error="指定された範囲・選択肢で入力してください。" sqref="B11" xr:uid="{00000000-0002-0000-0400-000000000000}">
      <formula1>"計上済み,単価に含む,今回は未算入"</formula1>
    </dataValidation>
    <dataValidation type="decimal" showErrorMessage="1" errorTitle="入力値を確認" error="指定された範囲・選択肢で入力してください。" sqref="B7" xr:uid="{00000000-0002-0000-0400-000001000000}">
      <formula1>0.000001</formula1>
      <formula2>1000000000000</formula2>
    </dataValidation>
    <dataValidation type="decimal" showErrorMessage="1" errorTitle="入力値を確認" error="指定された範囲・選択肢で入力してください。" sqref="F5:F8 D16:E55" xr:uid="{00000000-0002-0000-0400-000002000000}">
      <formula1>0</formula1>
      <formula2>1000000000000</formula2>
    </dataValidation>
    <dataValidation type="list" showErrorMessage="1" errorTitle="入力値を確認" error="指定された範囲・選択肢で入力してください。" sqref="I16:I55" xr:uid="{00000000-0002-0000-0400-000004000000}">
      <formula1>"数量連動,一式"</formula1>
    </dataValidation>
    <dataValidation type="list" showErrorMessage="1" errorTitle="入力値を確認" error="指定された範囲・選択肢で入力してください。" sqref="B16:B55" xr:uid="{00000000-0002-0000-0400-000005000000}">
      <formula1>"材料,作業,外注,配送,共通経費,生産原価,その他"</formula1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25" t="s">
        <v>125</v>
      </c>
      <c r="B2" s="25"/>
      <c r="C2" s="25"/>
      <c r="D2" s="25"/>
      <c r="E2" s="25"/>
      <c r="F2" s="25"/>
      <c r="G2" s="25"/>
      <c r="H2" s="25"/>
      <c r="I2" s="25"/>
      <c r="J2" s="25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customHeight="1">
      <c r="A5" s="2" t="s">
        <v>126</v>
      </c>
      <c r="B5" s="2" t="s">
        <v>127</v>
      </c>
      <c r="C5" s="1"/>
      <c r="D5" s="1"/>
      <c r="E5" s="1"/>
      <c r="F5" s="1"/>
      <c r="G5" s="1"/>
      <c r="H5" s="1"/>
      <c r="I5" s="1"/>
      <c r="J5" s="1"/>
      <c r="K5" s="1"/>
    </row>
    <row r="6" spans="1:11" ht="24" customHeight="1">
      <c r="A6" s="3" t="s">
        <v>2</v>
      </c>
      <c r="B6" s="3" t="s">
        <v>66</v>
      </c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>
      <c r="A7" s="3" t="s">
        <v>128</v>
      </c>
      <c r="B7" s="3" t="s">
        <v>103</v>
      </c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1" t="s">
        <v>129</v>
      </c>
      <c r="B11" s="31" t="s">
        <v>130</v>
      </c>
      <c r="C11" s="31"/>
      <c r="D11" s="31"/>
      <c r="E11" s="31"/>
      <c r="F11" s="31"/>
      <c r="G11" s="1"/>
      <c r="H11" s="1"/>
      <c r="I11" s="1"/>
      <c r="J11" s="1"/>
      <c r="K11" s="1"/>
    </row>
    <row r="12" spans="1:11" ht="24" customHeight="1">
      <c r="A12" s="1" t="s">
        <v>131</v>
      </c>
      <c r="B12" s="31" t="s">
        <v>132</v>
      </c>
      <c r="C12" s="31"/>
      <c r="D12" s="31"/>
      <c r="E12" s="31"/>
      <c r="F12" s="31"/>
      <c r="G12" s="1"/>
      <c r="H12" s="1"/>
      <c r="I12" s="1"/>
      <c r="J12" s="1"/>
      <c r="K12" s="1"/>
    </row>
    <row r="13" spans="1:11" ht="24" customHeight="1">
      <c r="A13" s="1" t="s">
        <v>133</v>
      </c>
      <c r="B13" s="31" t="s">
        <v>134</v>
      </c>
      <c r="C13" s="31"/>
      <c r="D13" s="31"/>
      <c r="E13" s="31"/>
      <c r="F13" s="31"/>
      <c r="G13" s="1"/>
      <c r="H13" s="1"/>
      <c r="I13" s="1"/>
      <c r="J13" s="1"/>
      <c r="K13" s="1"/>
    </row>
    <row r="14" spans="1:11" ht="24" customHeight="1">
      <c r="A14" s="1" t="s">
        <v>135</v>
      </c>
      <c r="B14" s="31" t="s">
        <v>136</v>
      </c>
      <c r="C14" s="31"/>
      <c r="D14" s="31"/>
      <c r="E14" s="31"/>
      <c r="F14" s="31"/>
      <c r="G14" s="1"/>
      <c r="H14" s="1"/>
      <c r="I14" s="1"/>
      <c r="J14" s="1"/>
      <c r="K14" s="1"/>
    </row>
    <row r="15" spans="1:11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2.1" customHeight="1">
      <c r="A17" s="24" t="s">
        <v>137</v>
      </c>
      <c r="B17" s="24"/>
      <c r="C17" s="24"/>
      <c r="D17" s="24"/>
      <c r="E17" s="24"/>
      <c r="F17" s="24"/>
      <c r="G17" s="24"/>
      <c r="H17" s="24"/>
      <c r="I17" s="24"/>
      <c r="J17" s="24"/>
      <c r="K17" s="1"/>
    </row>
    <row r="18" spans="1:11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2.1" customHeight="1">
      <c r="A19" s="24" t="s">
        <v>138</v>
      </c>
      <c r="B19" s="24"/>
      <c r="C19" s="24"/>
      <c r="D19" s="24"/>
      <c r="E19" s="24"/>
      <c r="F19" s="24"/>
      <c r="G19" s="24"/>
      <c r="H19" s="24"/>
      <c r="I19" s="24"/>
      <c r="J19" s="24"/>
      <c r="K19" s="1"/>
    </row>
    <row r="20" spans="1:11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7">
    <mergeCell ref="A2:J2"/>
    <mergeCell ref="A17:J17"/>
    <mergeCell ref="A19:J19"/>
    <mergeCell ref="B11:F11"/>
    <mergeCell ref="B12:F12"/>
    <mergeCell ref="B13:F13"/>
    <mergeCell ref="B14:F14"/>
  </mergeCells>
  <phoneticPr fontId="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25" t="s">
        <v>139</v>
      </c>
      <c r="B2" s="25"/>
      <c r="C2" s="25"/>
      <c r="D2" s="25"/>
      <c r="E2" s="25"/>
      <c r="F2" s="25"/>
      <c r="G2" s="25"/>
      <c r="H2" s="25"/>
      <c r="I2" s="25"/>
      <c r="J2" s="25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2.1" customHeight="1">
      <c r="A4" s="24" t="s">
        <v>140</v>
      </c>
      <c r="B4" s="24"/>
      <c r="C4" s="24"/>
      <c r="D4" s="24"/>
      <c r="E4" s="24"/>
      <c r="F4" s="24"/>
      <c r="G4" s="24"/>
      <c r="H4" s="24"/>
      <c r="I4" s="24"/>
      <c r="J4" s="24"/>
      <c r="K4" s="1"/>
    </row>
    <row r="5" spans="1:11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30" customHeight="1">
      <c r="A6" s="2" t="s">
        <v>141</v>
      </c>
      <c r="B6" s="2" t="s">
        <v>16</v>
      </c>
      <c r="C6" s="2" t="s">
        <v>142</v>
      </c>
      <c r="D6" s="2" t="s">
        <v>27</v>
      </c>
      <c r="E6" s="2" t="s">
        <v>28</v>
      </c>
      <c r="F6" s="2" t="s">
        <v>29</v>
      </c>
      <c r="G6" s="2" t="s">
        <v>33</v>
      </c>
      <c r="H6" s="1"/>
      <c r="I6" s="1"/>
      <c r="J6" s="1"/>
      <c r="K6" s="1"/>
    </row>
    <row r="7" spans="1:11" ht="24" customHeight="1">
      <c r="A7" s="1" t="s">
        <v>55</v>
      </c>
      <c r="B7" s="1" t="s">
        <v>56</v>
      </c>
      <c r="C7" s="1" t="s">
        <v>57</v>
      </c>
      <c r="D7" s="1">
        <v>2</v>
      </c>
      <c r="E7" s="1" t="s">
        <v>58</v>
      </c>
      <c r="F7" s="7">
        <v>50000</v>
      </c>
      <c r="G7" s="17">
        <v>0.1</v>
      </c>
      <c r="H7" s="1"/>
      <c r="I7" s="1"/>
      <c r="J7" s="1"/>
      <c r="K7" s="1"/>
    </row>
    <row r="8" spans="1:11" ht="24" customHeight="1">
      <c r="A8" s="1" t="s">
        <v>59</v>
      </c>
      <c r="B8" s="1" t="s">
        <v>60</v>
      </c>
      <c r="C8" s="1" t="s">
        <v>57</v>
      </c>
      <c r="D8" s="1">
        <v>4</v>
      </c>
      <c r="E8" s="1" t="s">
        <v>61</v>
      </c>
      <c r="F8" s="7">
        <v>15000</v>
      </c>
      <c r="G8" s="17">
        <v>0.1</v>
      </c>
      <c r="H8" s="1"/>
      <c r="I8" s="1"/>
      <c r="J8" s="1"/>
      <c r="K8" s="1"/>
    </row>
    <row r="9" spans="1:11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0" customHeight="1">
      <c r="A11" s="2" t="s">
        <v>143</v>
      </c>
      <c r="B11" s="2" t="s">
        <v>77</v>
      </c>
      <c r="C11" s="2" t="s">
        <v>78</v>
      </c>
      <c r="D11" s="2" t="s">
        <v>144</v>
      </c>
      <c r="E11" s="2" t="s">
        <v>80</v>
      </c>
      <c r="F11" s="2" t="s">
        <v>145</v>
      </c>
      <c r="G11" s="2" t="s">
        <v>83</v>
      </c>
      <c r="H11" s="1"/>
      <c r="I11" s="1"/>
      <c r="J11" s="1"/>
      <c r="K11" s="1"/>
    </row>
    <row r="12" spans="1:11" ht="24" customHeight="1">
      <c r="A12" s="1" t="s">
        <v>55</v>
      </c>
      <c r="B12" s="1" t="s">
        <v>87</v>
      </c>
      <c r="C12" s="1" t="s">
        <v>88</v>
      </c>
      <c r="D12" s="1">
        <v>1</v>
      </c>
      <c r="E12" s="1">
        <v>15000</v>
      </c>
      <c r="F12" s="1" t="s">
        <v>89</v>
      </c>
      <c r="G12" s="1" t="s">
        <v>90</v>
      </c>
      <c r="H12" s="1"/>
      <c r="I12" s="1"/>
      <c r="J12" s="1"/>
      <c r="K12" s="1"/>
    </row>
    <row r="13" spans="1:11" ht="24" customHeight="1">
      <c r="A13" s="1" t="s">
        <v>55</v>
      </c>
      <c r="B13" s="1" t="s">
        <v>91</v>
      </c>
      <c r="C13" s="1" t="s">
        <v>92</v>
      </c>
      <c r="D13" s="1">
        <v>10</v>
      </c>
      <c r="E13" s="1">
        <v>1000</v>
      </c>
      <c r="F13" s="1" t="s">
        <v>93</v>
      </c>
      <c r="G13" s="1" t="s">
        <v>90</v>
      </c>
      <c r="H13" s="1"/>
      <c r="I13" s="1"/>
      <c r="J13" s="1"/>
      <c r="K13" s="1"/>
    </row>
    <row r="14" spans="1:11" ht="24" customHeight="1">
      <c r="A14" s="1" t="s">
        <v>59</v>
      </c>
      <c r="B14" s="1" t="s">
        <v>87</v>
      </c>
      <c r="C14" s="1" t="s">
        <v>94</v>
      </c>
      <c r="D14" s="1">
        <v>1</v>
      </c>
      <c r="E14" s="1">
        <v>5000</v>
      </c>
      <c r="F14" s="1" t="s">
        <v>95</v>
      </c>
      <c r="G14" s="1" t="s">
        <v>90</v>
      </c>
      <c r="H14" s="1"/>
      <c r="I14" s="1"/>
      <c r="J14" s="1"/>
      <c r="K14" s="1"/>
    </row>
    <row r="15" spans="1:11" ht="24" customHeight="1">
      <c r="A15" s="1" t="s">
        <v>59</v>
      </c>
      <c r="B15" s="1" t="s">
        <v>91</v>
      </c>
      <c r="C15" s="1" t="s">
        <v>96</v>
      </c>
      <c r="D15" s="1">
        <v>2.5</v>
      </c>
      <c r="E15" s="1">
        <v>1000</v>
      </c>
      <c r="F15" s="1" t="s">
        <v>97</v>
      </c>
      <c r="G15" s="1" t="s">
        <v>90</v>
      </c>
      <c r="H15" s="1"/>
      <c r="I15" s="1"/>
      <c r="J15" s="1"/>
      <c r="K15" s="1"/>
    </row>
    <row r="16" spans="1:11" ht="24" customHeight="1">
      <c r="A16" s="1" t="s">
        <v>98</v>
      </c>
      <c r="B16" s="1" t="s">
        <v>99</v>
      </c>
      <c r="C16" s="1" t="s">
        <v>100</v>
      </c>
      <c r="D16" s="1">
        <v>1</v>
      </c>
      <c r="E16" s="1">
        <v>8000</v>
      </c>
      <c r="F16" s="1" t="s">
        <v>101</v>
      </c>
      <c r="G16" s="1" t="s">
        <v>102</v>
      </c>
      <c r="H16" s="1"/>
      <c r="I16" s="1"/>
      <c r="J16" s="1"/>
      <c r="K16" s="1"/>
    </row>
    <row r="17" spans="1:11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2.1" customHeight="1">
      <c r="A18" s="24" t="s">
        <v>146</v>
      </c>
      <c r="B18" s="24"/>
      <c r="C18" s="24"/>
      <c r="D18" s="24"/>
      <c r="E18" s="24"/>
      <c r="F18" s="24"/>
      <c r="G18" s="24"/>
      <c r="H18" s="24"/>
      <c r="I18" s="24"/>
      <c r="J18" s="24"/>
      <c r="K18" s="1"/>
    </row>
    <row r="19" spans="1:11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30" customHeight="1">
      <c r="A21" s="2" t="s">
        <v>147</v>
      </c>
      <c r="B21" s="2" t="s">
        <v>16</v>
      </c>
      <c r="C21" s="2" t="s">
        <v>142</v>
      </c>
      <c r="D21" s="2" t="s">
        <v>27</v>
      </c>
      <c r="E21" s="2" t="s">
        <v>28</v>
      </c>
      <c r="F21" s="2" t="s">
        <v>29</v>
      </c>
      <c r="G21" s="2" t="s">
        <v>33</v>
      </c>
      <c r="H21" s="1"/>
      <c r="I21" s="1"/>
      <c r="J21" s="1"/>
      <c r="K21" s="1"/>
    </row>
    <row r="22" spans="1:11" ht="24" customHeight="1">
      <c r="A22" s="1" t="s">
        <v>55</v>
      </c>
      <c r="B22" s="1" t="s">
        <v>148</v>
      </c>
      <c r="C22" s="1" t="s">
        <v>149</v>
      </c>
      <c r="D22" s="1">
        <v>100</v>
      </c>
      <c r="E22" s="1" t="s">
        <v>150</v>
      </c>
      <c r="F22" s="7">
        <v>2000</v>
      </c>
      <c r="G22" s="17">
        <v>0.08</v>
      </c>
      <c r="H22" s="1"/>
      <c r="I22" s="1"/>
      <c r="J22" s="1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0" customHeight="1">
      <c r="A25" s="2" t="s">
        <v>143</v>
      </c>
      <c r="B25" s="2" t="s">
        <v>77</v>
      </c>
      <c r="C25" s="2" t="s">
        <v>78</v>
      </c>
      <c r="D25" s="2" t="s">
        <v>144</v>
      </c>
      <c r="E25" s="2" t="s">
        <v>80</v>
      </c>
      <c r="F25" s="2" t="s">
        <v>145</v>
      </c>
      <c r="G25" s="2" t="s">
        <v>83</v>
      </c>
      <c r="H25" s="1"/>
      <c r="I25" s="1"/>
      <c r="J25" s="1"/>
      <c r="K25" s="1"/>
    </row>
    <row r="26" spans="1:11" ht="24" customHeight="1">
      <c r="A26" s="1" t="s">
        <v>55</v>
      </c>
      <c r="B26" s="1" t="s">
        <v>116</v>
      </c>
      <c r="C26" s="1" t="s">
        <v>117</v>
      </c>
      <c r="D26" s="1">
        <v>5</v>
      </c>
      <c r="E26" s="1">
        <v>200</v>
      </c>
      <c r="F26" s="1" t="s">
        <v>118</v>
      </c>
      <c r="G26" s="1" t="s">
        <v>90</v>
      </c>
      <c r="H26" s="1"/>
      <c r="I26" s="1"/>
      <c r="J26" s="1"/>
      <c r="K26" s="1"/>
    </row>
    <row r="27" spans="1:11" ht="24" customHeight="1">
      <c r="A27" s="1" t="s">
        <v>55</v>
      </c>
      <c r="B27" s="1" t="s">
        <v>87</v>
      </c>
      <c r="C27" s="1" t="s">
        <v>119</v>
      </c>
      <c r="D27" s="1">
        <v>1</v>
      </c>
      <c r="E27" s="1">
        <v>150</v>
      </c>
      <c r="F27" s="1" t="s">
        <v>120</v>
      </c>
      <c r="G27" s="1" t="s">
        <v>90</v>
      </c>
      <c r="H27" s="1"/>
      <c r="I27" s="1"/>
      <c r="J27" s="1"/>
      <c r="K27" s="1"/>
    </row>
    <row r="28" spans="1:11" ht="24" customHeight="1">
      <c r="A28" s="1" t="s">
        <v>55</v>
      </c>
      <c r="B28" s="1" t="s">
        <v>91</v>
      </c>
      <c r="C28" s="1" t="s">
        <v>121</v>
      </c>
      <c r="D28" s="1">
        <v>0.1</v>
      </c>
      <c r="E28" s="1">
        <v>1500</v>
      </c>
      <c r="F28" s="1" t="s">
        <v>122</v>
      </c>
      <c r="G28" s="1" t="s">
        <v>90</v>
      </c>
      <c r="H28" s="1"/>
      <c r="I28" s="1"/>
      <c r="J28" s="1"/>
      <c r="K28" s="1"/>
    </row>
    <row r="29" spans="1:11" ht="24" customHeight="1">
      <c r="A29" s="1" t="s">
        <v>98</v>
      </c>
      <c r="B29" s="1" t="s">
        <v>99</v>
      </c>
      <c r="C29" s="1" t="s">
        <v>123</v>
      </c>
      <c r="D29" s="1">
        <v>1</v>
      </c>
      <c r="E29" s="1">
        <v>10000</v>
      </c>
      <c r="F29" s="1" t="s">
        <v>124</v>
      </c>
      <c r="G29" s="1" t="s">
        <v>102</v>
      </c>
      <c r="H29" s="1"/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32.1" customHeight="1">
      <c r="A31" s="24" t="s">
        <v>151</v>
      </c>
      <c r="B31" s="24"/>
      <c r="C31" s="24"/>
      <c r="D31" s="24"/>
      <c r="E31" s="24"/>
      <c r="F31" s="24"/>
      <c r="G31" s="24"/>
      <c r="H31" s="24"/>
      <c r="I31" s="24"/>
      <c r="J31" s="24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32.1" customHeight="1">
      <c r="A33" s="24" t="s">
        <v>152</v>
      </c>
      <c r="B33" s="24"/>
      <c r="C33" s="24"/>
      <c r="D33" s="24"/>
      <c r="E33" s="24"/>
      <c r="F33" s="24"/>
      <c r="G33" s="24"/>
      <c r="H33" s="24"/>
      <c r="I33" s="24"/>
      <c r="J33" s="24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2.1" customHeight="1">
      <c r="A35" s="24" t="s">
        <v>153</v>
      </c>
      <c r="B35" s="24"/>
      <c r="C35" s="24"/>
      <c r="D35" s="24"/>
      <c r="E35" s="24"/>
      <c r="F35" s="24"/>
      <c r="G35" s="24"/>
      <c r="H35" s="24"/>
      <c r="I35" s="24"/>
      <c r="J35" s="24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32.1" customHeight="1">
      <c r="A37" s="24" t="s">
        <v>154</v>
      </c>
      <c r="B37" s="24"/>
      <c r="C37" s="24"/>
      <c r="D37" s="24"/>
      <c r="E37" s="24"/>
      <c r="F37" s="24"/>
      <c r="G37" s="24"/>
      <c r="H37" s="24"/>
      <c r="I37" s="24"/>
      <c r="J37" s="24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7">
    <mergeCell ref="A35:J35"/>
    <mergeCell ref="A37:J37"/>
    <mergeCell ref="A2:J2"/>
    <mergeCell ref="A4:J4"/>
    <mergeCell ref="A18:J18"/>
    <mergeCell ref="A31:J31"/>
    <mergeCell ref="A33:J33"/>
  </mergeCells>
  <phoneticPr fontId="13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7988A"/>
  </sheetPr>
  <dimension ref="A1:N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25" t="s">
        <v>155</v>
      </c>
      <c r="B2" s="25"/>
      <c r="C2" s="25"/>
      <c r="D2" s="25"/>
      <c r="E2" s="25"/>
      <c r="F2" s="25"/>
      <c r="G2" s="25"/>
      <c r="H2" s="25"/>
      <c r="I2" s="25"/>
      <c r="J2" s="25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 t="s">
        <v>156</v>
      </c>
      <c r="B4" s="1" t="str">
        <f>IFERROR(INDEX(設定!$B$6:$B$7,MATCH(採算シミュレーション!B5,設定!$A$6:$A$7,0)),"業種未登録")</f>
        <v>原価(木工所)</v>
      </c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157</v>
      </c>
      <c r="B5" s="1" t="str">
        <f ca="1">IFERROR(INDIRECT("'"&amp;$B$4&amp;"'!L4"),"原価シートなし")</f>
        <v>COST-V1</v>
      </c>
      <c r="C5" s="1"/>
      <c r="D5" s="1"/>
      <c r="E5" s="1"/>
      <c r="F5" s="1"/>
      <c r="G5" s="1"/>
      <c r="H5" s="1"/>
      <c r="I5" s="1"/>
      <c r="J5" s="1"/>
      <c r="K5" s="1"/>
    </row>
    <row r="6" spans="1:11" ht="24" customHeight="1">
      <c r="A6" s="1" t="s">
        <v>69</v>
      </c>
      <c r="B6" s="1" t="str">
        <f ca="1">IFERROR(INDIRECT("'"&amp;$B$4&amp;"'!M5"),"原価シートなし")</f>
        <v>OK</v>
      </c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>
      <c r="A7" s="1" t="s">
        <v>158</v>
      </c>
      <c r="B7" s="1" t="str">
        <f>見積入力!I28</f>
        <v>OK</v>
      </c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>
      <c r="A8" s="1" t="s">
        <v>159</v>
      </c>
      <c r="B8" s="1" t="str">
        <f>IF(OR(NOT(ISNUMBER(採算シミュレーション!B7)),NOT(ISNUMBER(採算シミュレーション!B9)),NOT(ISNUMBER(採算シミュレーション!B11))),"試算条件は数値",IF(OR(採算シミュレーション!B7&lt;0,採算シミュレーション!B7&gt;=1,採算シミュレーション!B9&lt;0,採算シミュレーション!B9&gt;100,MOD(採算シミュレーション!B9,1)&lt;&gt;0,採算シミュレーション!B11&lt; -1,採算シミュレーション!B11&gt;10),"試算条件の範囲確認","OK"))</f>
        <v>OK</v>
      </c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1" t="s">
        <v>20</v>
      </c>
      <c r="B9" s="1">
        <f ca="1">IFERROR(INDIRECT("'"&amp;$B$4&amp;"'!M6"),"取得不可")</f>
        <v>8000</v>
      </c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1" t="s">
        <v>160</v>
      </c>
      <c r="B10" s="1" t="str">
        <f ca="1">IF(B5&lt;&gt;"COST-V1",B5,IF(B6&lt;&gt;"OK",B6,IF(B7&lt;&gt;"OK",B7,IF(B8&lt;&gt;"OK",B8,IF(COUNTIFS(J16:J25,"原価の紐付け不足")&gt;0,"商品に原価未登録","OK")))))</f>
        <v>OK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1" t="s">
        <v>14</v>
      </c>
      <c r="B11" s="1" t="str">
        <f ca="1">IFERROR(INDIRECT("'"&amp;$B$4&amp;"'!M7"),"取得不可")</f>
        <v>今回は未算入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24" customHeight="1">
      <c r="A12" s="1" t="s">
        <v>63</v>
      </c>
      <c r="B12" s="1">
        <f>IF(B7="OK",見積入力!H29,"")</f>
        <v>160000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0" customHeight="1">
      <c r="A15" s="2" t="s">
        <v>15</v>
      </c>
      <c r="B15" s="2" t="s">
        <v>16</v>
      </c>
      <c r="C15" s="2" t="s">
        <v>161</v>
      </c>
      <c r="D15" s="2" t="s">
        <v>162</v>
      </c>
      <c r="E15" s="2" t="s">
        <v>163</v>
      </c>
      <c r="F15" s="2" t="s">
        <v>3</v>
      </c>
      <c r="G15" s="2" t="s">
        <v>4</v>
      </c>
      <c r="H15" s="2" t="s">
        <v>164</v>
      </c>
      <c r="I15" s="2" t="s">
        <v>33</v>
      </c>
      <c r="J15" s="2" t="s">
        <v>165</v>
      </c>
      <c r="K15" s="1"/>
    </row>
    <row r="16" spans="1:11" ht="24" customHeight="1">
      <c r="A16" s="1" t="str">
        <f>IF(見積入力!A16="","",見積入力!A16)</f>
        <v>M001</v>
      </c>
      <c r="B16" s="1" t="str">
        <f>IF(A16="","",見積入力!B16)</f>
        <v>テーブル</v>
      </c>
      <c r="C16" s="1">
        <f>IF(A16="","",見積入力!H16)</f>
        <v>100000</v>
      </c>
      <c r="D16" s="1">
        <f ca="1">IF(A16="","",IFERROR(INDIRECT("'"&amp;$B$4&amp;"'!M16"),"取得不可"))</f>
        <v>50000</v>
      </c>
      <c r="E16" s="1">
        <f ca="1">IF(A16="","",IFERROR(INDIRECT("'"&amp;$B$4&amp;"'!N16"),"取得不可"))</f>
        <v>2</v>
      </c>
      <c r="F16" s="1">
        <f ca="1">IF(OR(A16="",$B$10&lt;&gt;"OK"),"",ROUND(C16*(1-採算シミュレーション!$B$9/100),0))</f>
        <v>100000</v>
      </c>
      <c r="G16" s="1">
        <f ca="1">IF(OR(A16="",$B$10&lt;&gt;"OK"),"",ROUND(D16*(1+採算シミュレーション!$B$11),0))</f>
        <v>50000</v>
      </c>
      <c r="H16" s="1">
        <f ca="1">IF(OR(A16="",$B$10&lt;&gt;"OK"),"",ROUND(C16*(1-見積入力!$B$8),0))</f>
        <v>100000</v>
      </c>
      <c r="I16" s="1">
        <f>IF(A16="","",見積入力!G16)</f>
        <v>0.1</v>
      </c>
      <c r="J16" s="1" t="str">
        <f t="shared" ref="J16:J25" ca="1" si="0">IF(A16="","",IF(AND(ISNUMBER(D16),ISNUMBER(E16),E16&gt;0),"OK","原価の紐付け不足"))</f>
        <v>OK</v>
      </c>
      <c r="K16" s="1"/>
    </row>
    <row r="17" spans="1:14" ht="24" customHeight="1">
      <c r="A17" s="1" t="str">
        <f>IF(見積入力!A17="","",見積入力!A17)</f>
        <v>M002</v>
      </c>
      <c r="B17" s="1" t="str">
        <f>IF(A17="","",見積入力!B17)</f>
        <v>椅子</v>
      </c>
      <c r="C17" s="1">
        <f>IF(A17="","",見積入力!H17)</f>
        <v>60000</v>
      </c>
      <c r="D17" s="1">
        <f ca="1">IF(A17="","",IFERROR(INDIRECT("'"&amp;$B$4&amp;"'!M17"),"取得不可"))</f>
        <v>30000</v>
      </c>
      <c r="E17" s="1">
        <f ca="1">IF(A17="","",IFERROR(INDIRECT("'"&amp;$B$4&amp;"'!N17"),"取得不可"))</f>
        <v>2</v>
      </c>
      <c r="F17" s="1">
        <f ca="1">IF(OR(A17="",$B$10&lt;&gt;"OK"),"",ROUND(C17*(1-採算シミュレーション!$B$9/100),0))</f>
        <v>60000</v>
      </c>
      <c r="G17" s="1">
        <f ca="1">IF(OR(A17="",$B$10&lt;&gt;"OK"),"",ROUND(D17*(1+採算シミュレーション!$B$11),0))</f>
        <v>30000</v>
      </c>
      <c r="H17" s="1">
        <f ca="1">IF(OR(A17="",$B$10&lt;&gt;"OK"),"",ROUND(C17*(1-見積入力!$B$8),0))</f>
        <v>60000</v>
      </c>
      <c r="I17" s="1">
        <f>IF(A17="","",見積入力!G17)</f>
        <v>0.1</v>
      </c>
      <c r="J17" s="1" t="str">
        <f t="shared" ca="1" si="0"/>
        <v>OK</v>
      </c>
      <c r="K17" s="1"/>
    </row>
    <row r="18" spans="1:14" ht="24" customHeight="1">
      <c r="A18" s="1" t="str">
        <f>IF(見積入力!A18="","",見積入力!A18)</f>
        <v/>
      </c>
      <c r="B18" s="1" t="str">
        <f>IF(A18="","",見積入力!B18)</f>
        <v/>
      </c>
      <c r="C18" s="1" t="str">
        <f>IF(A18="","",見積入力!H18)</f>
        <v/>
      </c>
      <c r="D18" s="1" t="str">
        <f ca="1">IF(A18="","",IFERROR(INDIRECT("'"&amp;$B$4&amp;"'!M18"),"取得不可"))</f>
        <v/>
      </c>
      <c r="E18" s="1" t="str">
        <f ca="1">IF(A18="","",IFERROR(INDIRECT("'"&amp;$B$4&amp;"'!N18"),"取得不可"))</f>
        <v/>
      </c>
      <c r="F18" s="1" t="str">
        <f ca="1">IF(OR(A18="",$B$10&lt;&gt;"OK"),"",ROUND(C18*(1-採算シミュレーション!$B$9/100),0))</f>
        <v/>
      </c>
      <c r="G18" s="1" t="str">
        <f ca="1">IF(OR(A18="",$B$10&lt;&gt;"OK"),"",ROUND(D18*(1+採算シミュレーション!$B$11),0))</f>
        <v/>
      </c>
      <c r="H18" s="1" t="str">
        <f ca="1">IF(OR(A18="",$B$10&lt;&gt;"OK"),"",ROUND(C18*(1-見積入力!$B$8),0))</f>
        <v/>
      </c>
      <c r="I18" s="1" t="str">
        <f>IF(A18="","",見積入力!G18)</f>
        <v/>
      </c>
      <c r="J18" s="1" t="str">
        <f t="shared" si="0"/>
        <v/>
      </c>
      <c r="K18" s="1"/>
    </row>
    <row r="19" spans="1:14" ht="24" customHeight="1">
      <c r="A19" s="1" t="str">
        <f>IF(見積入力!A19="","",見積入力!A19)</f>
        <v/>
      </c>
      <c r="B19" s="1" t="str">
        <f>IF(A19="","",見積入力!B19)</f>
        <v/>
      </c>
      <c r="C19" s="1" t="str">
        <f>IF(A19="","",見積入力!H19)</f>
        <v/>
      </c>
      <c r="D19" s="1" t="str">
        <f ca="1">IF(A19="","",IFERROR(INDIRECT("'"&amp;$B$4&amp;"'!M19"),"取得不可"))</f>
        <v/>
      </c>
      <c r="E19" s="1" t="str">
        <f ca="1">IF(A19="","",IFERROR(INDIRECT("'"&amp;$B$4&amp;"'!N19"),"取得不可"))</f>
        <v/>
      </c>
      <c r="F19" s="1" t="str">
        <f ca="1">IF(OR(A19="",$B$10&lt;&gt;"OK"),"",ROUND(C19*(1-採算シミュレーション!$B$9/100),0))</f>
        <v/>
      </c>
      <c r="G19" s="1" t="str">
        <f ca="1">IF(OR(A19="",$B$10&lt;&gt;"OK"),"",ROUND(D19*(1+採算シミュレーション!$B$11),0))</f>
        <v/>
      </c>
      <c r="H19" s="1" t="str">
        <f ca="1">IF(OR(A19="",$B$10&lt;&gt;"OK"),"",ROUND(C19*(1-見積入力!$B$8),0))</f>
        <v/>
      </c>
      <c r="I19" s="1" t="str">
        <f>IF(A19="","",見積入力!G19)</f>
        <v/>
      </c>
      <c r="J19" s="1" t="str">
        <f t="shared" si="0"/>
        <v/>
      </c>
      <c r="K19" s="1"/>
    </row>
    <row r="20" spans="1:14" ht="24" customHeight="1">
      <c r="A20" s="1" t="str">
        <f>IF(見積入力!A20="","",見積入力!A20)</f>
        <v/>
      </c>
      <c r="B20" s="1" t="str">
        <f>IF(A20="","",見積入力!B20)</f>
        <v/>
      </c>
      <c r="C20" s="1" t="str">
        <f>IF(A20="","",見積入力!H20)</f>
        <v/>
      </c>
      <c r="D20" s="1" t="str">
        <f ca="1">IF(A20="","",IFERROR(INDIRECT("'"&amp;$B$4&amp;"'!M20"),"取得不可"))</f>
        <v/>
      </c>
      <c r="E20" s="1" t="str">
        <f ca="1">IF(A20="","",IFERROR(INDIRECT("'"&amp;$B$4&amp;"'!N20"),"取得不可"))</f>
        <v/>
      </c>
      <c r="F20" s="1" t="str">
        <f ca="1">IF(OR(A20="",$B$10&lt;&gt;"OK"),"",ROUND(C20*(1-採算シミュレーション!$B$9/100),0))</f>
        <v/>
      </c>
      <c r="G20" s="1" t="str">
        <f ca="1">IF(OR(A20="",$B$10&lt;&gt;"OK"),"",ROUND(D20*(1+採算シミュレーション!$B$11),0))</f>
        <v/>
      </c>
      <c r="H20" s="1" t="str">
        <f ca="1">IF(OR(A20="",$B$10&lt;&gt;"OK"),"",ROUND(C20*(1-見積入力!$B$8),0))</f>
        <v/>
      </c>
      <c r="I20" s="1" t="str">
        <f>IF(A20="","",見積入力!G20)</f>
        <v/>
      </c>
      <c r="J20" s="1" t="str">
        <f t="shared" si="0"/>
        <v/>
      </c>
      <c r="K20" s="1"/>
    </row>
    <row r="21" spans="1:14" ht="24" customHeight="1">
      <c r="A21" s="1" t="str">
        <f>IF(見積入力!A21="","",見積入力!A21)</f>
        <v/>
      </c>
      <c r="B21" s="1" t="str">
        <f>IF(A21="","",見積入力!B21)</f>
        <v/>
      </c>
      <c r="C21" s="1" t="str">
        <f>IF(A21="","",見積入力!H21)</f>
        <v/>
      </c>
      <c r="D21" s="1" t="str">
        <f ca="1">IF(A21="","",IFERROR(INDIRECT("'"&amp;$B$4&amp;"'!M21"),"取得不可"))</f>
        <v/>
      </c>
      <c r="E21" s="1" t="str">
        <f ca="1">IF(A21="","",IFERROR(INDIRECT("'"&amp;$B$4&amp;"'!N21"),"取得不可"))</f>
        <v/>
      </c>
      <c r="F21" s="1" t="str">
        <f ca="1">IF(OR(A21="",$B$10&lt;&gt;"OK"),"",ROUND(C21*(1-採算シミュレーション!$B$9/100),0))</f>
        <v/>
      </c>
      <c r="G21" s="1" t="str">
        <f ca="1">IF(OR(A21="",$B$10&lt;&gt;"OK"),"",ROUND(D21*(1+採算シミュレーション!$B$11),0))</f>
        <v/>
      </c>
      <c r="H21" s="1" t="str">
        <f ca="1">IF(OR(A21="",$B$10&lt;&gt;"OK"),"",ROUND(C21*(1-見積入力!$B$8),0))</f>
        <v/>
      </c>
      <c r="I21" s="1" t="str">
        <f>IF(A21="","",見積入力!G21)</f>
        <v/>
      </c>
      <c r="J21" s="1" t="str">
        <f t="shared" si="0"/>
        <v/>
      </c>
      <c r="K21" s="1"/>
    </row>
    <row r="22" spans="1:14" ht="24" customHeight="1">
      <c r="A22" s="1" t="str">
        <f>IF(見積入力!A22="","",見積入力!A22)</f>
        <v/>
      </c>
      <c r="B22" s="1" t="str">
        <f>IF(A22="","",見積入力!B22)</f>
        <v/>
      </c>
      <c r="C22" s="1" t="str">
        <f>IF(A22="","",見積入力!H22)</f>
        <v/>
      </c>
      <c r="D22" s="1" t="str">
        <f ca="1">IF(A22="","",IFERROR(INDIRECT("'"&amp;$B$4&amp;"'!M22"),"取得不可"))</f>
        <v/>
      </c>
      <c r="E22" s="1" t="str">
        <f ca="1">IF(A22="","",IFERROR(INDIRECT("'"&amp;$B$4&amp;"'!N22"),"取得不可"))</f>
        <v/>
      </c>
      <c r="F22" s="1" t="str">
        <f ca="1">IF(OR(A22="",$B$10&lt;&gt;"OK"),"",ROUND(C22*(1-採算シミュレーション!$B$9/100),0))</f>
        <v/>
      </c>
      <c r="G22" s="1" t="str">
        <f ca="1">IF(OR(A22="",$B$10&lt;&gt;"OK"),"",ROUND(D22*(1+採算シミュレーション!$B$11),0))</f>
        <v/>
      </c>
      <c r="H22" s="1" t="str">
        <f ca="1">IF(OR(A22="",$B$10&lt;&gt;"OK"),"",ROUND(C22*(1-見積入力!$B$8),0))</f>
        <v/>
      </c>
      <c r="I22" s="1" t="str">
        <f>IF(A22="","",見積入力!G22)</f>
        <v/>
      </c>
      <c r="J22" s="1" t="str">
        <f t="shared" si="0"/>
        <v/>
      </c>
      <c r="K22" s="1"/>
    </row>
    <row r="23" spans="1:14" ht="24" customHeight="1">
      <c r="A23" s="1" t="str">
        <f>IF(見積入力!A23="","",見積入力!A23)</f>
        <v/>
      </c>
      <c r="B23" s="1" t="str">
        <f>IF(A23="","",見積入力!B23)</f>
        <v/>
      </c>
      <c r="C23" s="1" t="str">
        <f>IF(A23="","",見積入力!H23)</f>
        <v/>
      </c>
      <c r="D23" s="1" t="str">
        <f ca="1">IF(A23="","",IFERROR(INDIRECT("'"&amp;$B$4&amp;"'!M23"),"取得不可"))</f>
        <v/>
      </c>
      <c r="E23" s="1" t="str">
        <f ca="1">IF(A23="","",IFERROR(INDIRECT("'"&amp;$B$4&amp;"'!N23"),"取得不可"))</f>
        <v/>
      </c>
      <c r="F23" s="1" t="str">
        <f ca="1">IF(OR(A23="",$B$10&lt;&gt;"OK"),"",ROUND(C23*(1-採算シミュレーション!$B$9/100),0))</f>
        <v/>
      </c>
      <c r="G23" s="1" t="str">
        <f ca="1">IF(OR(A23="",$B$10&lt;&gt;"OK"),"",ROUND(D23*(1+採算シミュレーション!$B$11),0))</f>
        <v/>
      </c>
      <c r="H23" s="1" t="str">
        <f ca="1">IF(OR(A23="",$B$10&lt;&gt;"OK"),"",ROUND(C23*(1-見積入力!$B$8),0))</f>
        <v/>
      </c>
      <c r="I23" s="1" t="str">
        <f>IF(A23="","",見積入力!G23)</f>
        <v/>
      </c>
      <c r="J23" s="1" t="str">
        <f t="shared" si="0"/>
        <v/>
      </c>
      <c r="K23" s="1"/>
    </row>
    <row r="24" spans="1:14" ht="24" customHeight="1">
      <c r="A24" s="1" t="str">
        <f>IF(見積入力!A24="","",見積入力!A24)</f>
        <v/>
      </c>
      <c r="B24" s="1" t="str">
        <f>IF(A24="","",見積入力!B24)</f>
        <v/>
      </c>
      <c r="C24" s="1" t="str">
        <f>IF(A24="","",見積入力!H24)</f>
        <v/>
      </c>
      <c r="D24" s="1" t="str">
        <f ca="1">IF(A24="","",IFERROR(INDIRECT("'"&amp;$B$4&amp;"'!M24"),"取得不可"))</f>
        <v/>
      </c>
      <c r="E24" s="1" t="str">
        <f ca="1">IF(A24="","",IFERROR(INDIRECT("'"&amp;$B$4&amp;"'!N24"),"取得不可"))</f>
        <v/>
      </c>
      <c r="F24" s="1" t="str">
        <f ca="1">IF(OR(A24="",$B$10&lt;&gt;"OK"),"",ROUND(C24*(1-採算シミュレーション!$B$9/100),0))</f>
        <v/>
      </c>
      <c r="G24" s="1" t="str">
        <f ca="1">IF(OR(A24="",$B$10&lt;&gt;"OK"),"",ROUND(D24*(1+採算シミュレーション!$B$11),0))</f>
        <v/>
      </c>
      <c r="H24" s="1" t="str">
        <f ca="1">IF(OR(A24="",$B$10&lt;&gt;"OK"),"",ROUND(C24*(1-見積入力!$B$8),0))</f>
        <v/>
      </c>
      <c r="I24" s="1" t="str">
        <f>IF(A24="","",見積入力!G24)</f>
        <v/>
      </c>
      <c r="J24" s="1" t="str">
        <f t="shared" si="0"/>
        <v/>
      </c>
      <c r="K24" s="1"/>
    </row>
    <row r="25" spans="1:14" ht="24" customHeight="1">
      <c r="A25" s="1" t="str">
        <f>IF(見積入力!A25="","",見積入力!A25)</f>
        <v/>
      </c>
      <c r="B25" s="1" t="str">
        <f>IF(A25="","",見積入力!B25)</f>
        <v/>
      </c>
      <c r="C25" s="1" t="str">
        <f>IF(A25="","",見積入力!H25)</f>
        <v/>
      </c>
      <c r="D25" s="1" t="str">
        <f ca="1">IF(A25="","",IFERROR(INDIRECT("'"&amp;$B$4&amp;"'!M25"),"取得不可"))</f>
        <v/>
      </c>
      <c r="E25" s="1" t="str">
        <f ca="1">IF(A25="","",IFERROR(INDIRECT("'"&amp;$B$4&amp;"'!N25"),"取得不可"))</f>
        <v/>
      </c>
      <c r="F25" s="1" t="str">
        <f ca="1">IF(OR(A25="",$B$10&lt;&gt;"OK"),"",ROUND(C25*(1-採算シミュレーション!$B$9/100),0))</f>
        <v/>
      </c>
      <c r="G25" s="1" t="str">
        <f ca="1">IF(OR(A25="",$B$10&lt;&gt;"OK"),"",ROUND(D25*(1+採算シミュレーション!$B$11),0))</f>
        <v/>
      </c>
      <c r="H25" s="1" t="str">
        <f ca="1">IF(OR(A25="",$B$10&lt;&gt;"OK"),"",ROUND(C25*(1-見積入力!$B$8),0))</f>
        <v/>
      </c>
      <c r="I25" s="1" t="str">
        <f>IF(A25="","",見積入力!G25)</f>
        <v/>
      </c>
      <c r="J25" s="1" t="str">
        <f t="shared" si="0"/>
        <v/>
      </c>
      <c r="K25" s="1"/>
    </row>
    <row r="26" spans="1:14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4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4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4" ht="30" customHeight="1">
      <c r="A29" s="1" t="s">
        <v>166</v>
      </c>
      <c r="B29" s="7">
        <f ca="1">IF(B10="OK",SUM(D16:D25)+B9,"")</f>
        <v>88000</v>
      </c>
      <c r="C29" s="1"/>
      <c r="D29" s="1"/>
      <c r="E29" s="1"/>
      <c r="F29" s="1"/>
      <c r="G29" s="1"/>
      <c r="H29" s="1"/>
      <c r="I29" s="1"/>
      <c r="J29" s="1"/>
      <c r="K29" s="1"/>
      <c r="L29" s="9" t="s">
        <v>167</v>
      </c>
      <c r="M29" s="9" t="s">
        <v>168</v>
      </c>
      <c r="N29" s="9" t="s">
        <v>169</v>
      </c>
    </row>
    <row r="30" spans="1:14" ht="24" customHeight="1">
      <c r="A30" s="1" t="s">
        <v>3</v>
      </c>
      <c r="B30" s="7">
        <f ca="1">IF(B10="OK",SUM(F16:F25),"")</f>
        <v>160000</v>
      </c>
      <c r="C30" s="1"/>
      <c r="D30" s="1"/>
      <c r="E30" s="1"/>
      <c r="F30" s="1"/>
      <c r="G30" s="1"/>
      <c r="H30" s="1"/>
      <c r="I30" s="1"/>
      <c r="J30" s="1"/>
      <c r="K30" s="1"/>
      <c r="L30" t="s">
        <v>170</v>
      </c>
      <c r="M30">
        <f>B12</f>
        <v>160000</v>
      </c>
      <c r="N30">
        <f ca="1">B30</f>
        <v>160000</v>
      </c>
    </row>
    <row r="31" spans="1:14" ht="24" customHeight="1">
      <c r="A31" s="1" t="s">
        <v>4</v>
      </c>
      <c r="B31" s="7">
        <f ca="1">IF(B10="OK",SUM(G16:G25)+B41,"")</f>
        <v>88000</v>
      </c>
      <c r="C31" s="1"/>
      <c r="D31" s="1"/>
      <c r="E31" s="1"/>
      <c r="F31" s="1"/>
      <c r="G31" s="1"/>
      <c r="H31" s="1"/>
      <c r="I31" s="1"/>
      <c r="J31" s="1"/>
      <c r="K31" s="1"/>
      <c r="L31" t="s">
        <v>162</v>
      </c>
      <c r="M31">
        <f ca="1">B29</f>
        <v>88000</v>
      </c>
      <c r="N31">
        <f ca="1">B31</f>
        <v>88000</v>
      </c>
    </row>
    <row r="32" spans="1:14" ht="24" customHeight="1">
      <c r="A32" s="1" t="s">
        <v>7</v>
      </c>
      <c r="B32" s="7">
        <f ca="1">IF(B10="OK",B30-B31,"")</f>
        <v>72000</v>
      </c>
      <c r="C32" s="1"/>
      <c r="D32" s="1"/>
      <c r="E32" s="1"/>
      <c r="F32" s="1"/>
      <c r="G32" s="1"/>
      <c r="H32" s="1"/>
      <c r="I32" s="1"/>
      <c r="J32" s="1"/>
      <c r="K32" s="1"/>
      <c r="L32" t="s">
        <v>171</v>
      </c>
      <c r="M32">
        <f ca="1">B40</f>
        <v>72000</v>
      </c>
      <c r="N32">
        <f ca="1">B32</f>
        <v>72000</v>
      </c>
    </row>
    <row r="33" spans="1:13" ht="24" customHeight="1">
      <c r="A33" s="1" t="s">
        <v>8</v>
      </c>
      <c r="B33" s="14">
        <f ca="1">IF(B10="OK",IF(B30=0,"算出不可",B32/B30),"")</f>
        <v>0.45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ht="24" customHeight="1">
      <c r="A34" s="1" t="s">
        <v>12</v>
      </c>
      <c r="B34" s="7">
        <f ca="1">IF(B10="OK",ROUNDUP(B31/(1-採算シミュレーション!B7),0),"")</f>
        <v>125715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ht="30" customHeight="1">
      <c r="A35" s="1" t="s">
        <v>13</v>
      </c>
      <c r="B35" s="14">
        <f ca="1">IF(B10="OK",IF(B12=0,"算出不可",IF(B34&gt;B12,"値上げが必要",1-B34/B12)),"")</f>
        <v>0.21428124999999998</v>
      </c>
      <c r="C35" s="1"/>
      <c r="D35" s="1"/>
      <c r="E35" s="1"/>
      <c r="F35" s="1"/>
      <c r="G35" s="1"/>
      <c r="H35" s="1"/>
      <c r="I35" s="1"/>
      <c r="J35" s="1"/>
      <c r="K35" s="1"/>
      <c r="L35" s="9" t="s">
        <v>172</v>
      </c>
      <c r="M35" s="9" t="s">
        <v>173</v>
      </c>
    </row>
    <row r="36" spans="1:13" ht="24" customHeight="1">
      <c r="A36" s="1" t="s">
        <v>164</v>
      </c>
      <c r="B36" s="7">
        <f ca="1">IF(B10="OK",SUM(H16:H25),"")</f>
        <v>160000</v>
      </c>
      <c r="C36" s="1"/>
      <c r="D36" s="1"/>
      <c r="E36" s="1"/>
      <c r="F36" s="1"/>
      <c r="G36" s="1"/>
      <c r="H36" s="1"/>
      <c r="I36" s="1"/>
      <c r="J36" s="1"/>
      <c r="K36" s="1"/>
      <c r="L36" t="s">
        <v>174</v>
      </c>
      <c r="M36">
        <f ca="1">IF(B10="OK",B12*(1-0)-B31,"")</f>
        <v>72000</v>
      </c>
    </row>
    <row r="37" spans="1:13" ht="24" customHeight="1">
      <c r="A37" s="1" t="s">
        <v>175</v>
      </c>
      <c r="B37" s="7">
        <f ca="1">IF(B10="OK",ROUNDDOWN(SUMIFS(H16:H25,I16:I25,0.1)*0.1,0),"")</f>
        <v>16000</v>
      </c>
      <c r="C37" s="1"/>
      <c r="D37" s="1"/>
      <c r="E37" s="1"/>
      <c r="F37" s="1"/>
      <c r="G37" s="1"/>
      <c r="H37" s="1"/>
      <c r="I37" s="1"/>
      <c r="J37" s="1"/>
      <c r="K37" s="1"/>
      <c r="L37" t="s">
        <v>176</v>
      </c>
      <c r="M37">
        <f ca="1">IF(B10="OK",B12*(1-0.05)-B31,"")</f>
        <v>64000</v>
      </c>
    </row>
    <row r="38" spans="1:13" ht="24" customHeight="1">
      <c r="A38" s="1" t="s">
        <v>177</v>
      </c>
      <c r="B38" s="7">
        <f ca="1">IF(B10="OK",ROUNDDOWN(SUMIFS(H16:H25,I16:I25,0.08)*0.08,0),"")</f>
        <v>0</v>
      </c>
      <c r="C38" s="1"/>
      <c r="D38" s="1"/>
      <c r="E38" s="1"/>
      <c r="F38" s="1"/>
      <c r="G38" s="1"/>
      <c r="H38" s="1"/>
      <c r="I38" s="1"/>
      <c r="J38" s="1"/>
      <c r="K38" s="1"/>
      <c r="L38" t="s">
        <v>178</v>
      </c>
      <c r="M38">
        <f ca="1">IF(B10="OK",B12*(1-0.1)-B31,"")</f>
        <v>56000</v>
      </c>
    </row>
    <row r="39" spans="1:13" ht="24" customHeight="1">
      <c r="A39" s="1" t="s">
        <v>179</v>
      </c>
      <c r="B39" s="7">
        <f ca="1">IF(B10="OK",B36+B37+B38,"")</f>
        <v>176000</v>
      </c>
      <c r="C39" s="1"/>
      <c r="D39" s="1"/>
      <c r="E39" s="1"/>
      <c r="F39" s="1"/>
      <c r="G39" s="1"/>
      <c r="H39" s="1"/>
      <c r="I39" s="1"/>
      <c r="J39" s="1"/>
      <c r="K39" s="1"/>
      <c r="L39" t="s">
        <v>180</v>
      </c>
      <c r="M39">
        <f ca="1">IF(B10="OK",B12*(1-0.15)-B31,"")</f>
        <v>48000</v>
      </c>
    </row>
    <row r="40" spans="1:13" ht="24" customHeight="1">
      <c r="A40" s="1" t="s">
        <v>181</v>
      </c>
      <c r="B40" s="7">
        <f ca="1">IF(B10="OK",B12-B29,"")</f>
        <v>72000</v>
      </c>
      <c r="C40" s="1"/>
      <c r="D40" s="1"/>
      <c r="E40" s="1"/>
      <c r="F40" s="1"/>
      <c r="G40" s="1"/>
      <c r="H40" s="1"/>
      <c r="I40" s="1"/>
      <c r="J40" s="1"/>
      <c r="K40" s="1"/>
      <c r="L40" t="s">
        <v>182</v>
      </c>
      <c r="M40">
        <f ca="1">IF(B10="OK",B12*(1-0.2)-B31,"")</f>
        <v>40000</v>
      </c>
    </row>
    <row r="41" spans="1:13" ht="24" customHeight="1">
      <c r="A41" s="1" t="s">
        <v>183</v>
      </c>
      <c r="B41" s="7">
        <f ca="1">IF(B10="OK",ROUND(B9*(1+採算シミュレーション!B11),0),"")</f>
        <v>8000</v>
      </c>
      <c r="C41" s="1"/>
      <c r="D41" s="1"/>
      <c r="E41" s="1"/>
      <c r="F41" s="1"/>
      <c r="G41" s="1"/>
      <c r="H41" s="1"/>
      <c r="I41" s="1"/>
      <c r="J41" s="1"/>
      <c r="K41" s="1"/>
      <c r="L41" t="s">
        <v>184</v>
      </c>
      <c r="M41">
        <f ca="1">IF(B10="OK",B12*(1-0.25)-B31,"")</f>
        <v>32000</v>
      </c>
    </row>
    <row r="42" spans="1:13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t="s">
        <v>185</v>
      </c>
      <c r="M42">
        <f ca="1">IF(B10="OK",B12*(1-0.3)-B31,"")</f>
        <v>24000</v>
      </c>
    </row>
    <row r="43" spans="1:13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t="s">
        <v>186</v>
      </c>
      <c r="M43">
        <f ca="1">IF(B10="OK",B12*(1-0.35)-B31,"")</f>
        <v>16000</v>
      </c>
    </row>
    <row r="44" spans="1:13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t="s">
        <v>187</v>
      </c>
      <c r="M44">
        <f ca="1">IF(B10="OK",B12*(1-0.4)-B31,"")</f>
        <v>8000</v>
      </c>
    </row>
    <row r="45" spans="1:13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t="s">
        <v>188</v>
      </c>
      <c r="M45">
        <f ca="1">IF(B10="OK",B12*(1-0.45)-B31,"")</f>
        <v>0</v>
      </c>
    </row>
    <row r="46" spans="1:13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t="s">
        <v>189</v>
      </c>
      <c r="M46">
        <f ca="1">IF(B10="OK",B12*(1-0.5)-B31,"")</f>
        <v>-8000</v>
      </c>
    </row>
    <row r="47" spans="1:13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3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1">
    <mergeCell ref="A2:J2"/>
  </mergeCells>
  <phoneticPr fontId="13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25" t="s">
        <v>190</v>
      </c>
      <c r="B2" s="25"/>
      <c r="C2" s="25"/>
      <c r="D2" s="25"/>
      <c r="E2" s="25"/>
      <c r="F2" s="25"/>
      <c r="G2" s="25"/>
      <c r="H2" s="25"/>
      <c r="I2" s="25"/>
      <c r="J2" s="25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2.1" customHeight="1">
      <c r="A4" s="24" t="s">
        <v>191</v>
      </c>
      <c r="B4" s="24"/>
      <c r="C4" s="24"/>
      <c r="D4" s="24"/>
      <c r="E4" s="24"/>
      <c r="F4" s="24"/>
      <c r="G4" s="24"/>
      <c r="H4" s="24"/>
      <c r="I4" s="24"/>
      <c r="J4" s="24"/>
      <c r="K4" s="1"/>
    </row>
    <row r="5" spans="1:11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32.1" customHeight="1">
      <c r="A6" s="24" t="s">
        <v>192</v>
      </c>
      <c r="B6" s="24"/>
      <c r="C6" s="24"/>
      <c r="D6" s="24"/>
      <c r="E6" s="24"/>
      <c r="F6" s="24"/>
      <c r="G6" s="24"/>
      <c r="H6" s="24"/>
      <c r="I6" s="24"/>
      <c r="J6" s="24"/>
      <c r="K6" s="1"/>
    </row>
    <row r="7" spans="1:11" ht="24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2.1" customHeight="1">
      <c r="A8" s="24" t="s">
        <v>193</v>
      </c>
      <c r="B8" s="24"/>
      <c r="C8" s="24"/>
      <c r="D8" s="24"/>
      <c r="E8" s="24"/>
      <c r="F8" s="24"/>
      <c r="G8" s="24"/>
      <c r="H8" s="24"/>
      <c r="I8" s="24"/>
      <c r="J8" s="24"/>
      <c r="K8" s="1"/>
    </row>
    <row r="9" spans="1:11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32.1" customHeight="1">
      <c r="A10" s="24" t="s">
        <v>194</v>
      </c>
      <c r="B10" s="24"/>
      <c r="C10" s="24"/>
      <c r="D10" s="24"/>
      <c r="E10" s="24"/>
      <c r="F10" s="24"/>
      <c r="G10" s="24"/>
      <c r="H10" s="24"/>
      <c r="I10" s="24"/>
      <c r="J10" s="24"/>
      <c r="K10" s="1"/>
    </row>
    <row r="11" spans="1:11" ht="24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2.1" customHeight="1">
      <c r="A12" s="24" t="s">
        <v>195</v>
      </c>
      <c r="B12" s="24"/>
      <c r="C12" s="24"/>
      <c r="D12" s="24"/>
      <c r="E12" s="24"/>
      <c r="F12" s="24"/>
      <c r="G12" s="24"/>
      <c r="H12" s="24"/>
      <c r="I12" s="24"/>
      <c r="J12" s="24"/>
      <c r="K12" s="1"/>
    </row>
    <row r="13" spans="1:11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2.1" customHeight="1">
      <c r="A14" s="24" t="s">
        <v>196</v>
      </c>
      <c r="B14" s="24"/>
      <c r="C14" s="24"/>
      <c r="D14" s="24"/>
      <c r="E14" s="24"/>
      <c r="F14" s="24"/>
      <c r="G14" s="24"/>
      <c r="H14" s="24"/>
      <c r="I14" s="24"/>
      <c r="J14" s="24"/>
      <c r="K14" s="1"/>
    </row>
    <row r="15" spans="1:11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2.1" customHeight="1">
      <c r="A16" s="24" t="s">
        <v>197</v>
      </c>
      <c r="B16" s="24"/>
      <c r="C16" s="24"/>
      <c r="D16" s="24"/>
      <c r="E16" s="24"/>
      <c r="F16" s="24"/>
      <c r="G16" s="24"/>
      <c r="H16" s="24"/>
      <c r="I16" s="24"/>
      <c r="J16" s="24"/>
      <c r="K16" s="1"/>
    </row>
    <row r="17" spans="1:11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2.1" customHeight="1">
      <c r="A18" s="24" t="s">
        <v>198</v>
      </c>
      <c r="B18" s="24"/>
      <c r="C18" s="24"/>
      <c r="D18" s="24"/>
      <c r="E18" s="24"/>
      <c r="F18" s="24"/>
      <c r="G18" s="24"/>
      <c r="H18" s="24"/>
      <c r="I18" s="24"/>
      <c r="J18" s="24"/>
      <c r="K18" s="1"/>
    </row>
    <row r="19" spans="1:11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2.1" customHeight="1">
      <c r="A20" s="24" t="s">
        <v>199</v>
      </c>
      <c r="B20" s="24"/>
      <c r="C20" s="24"/>
      <c r="D20" s="24"/>
      <c r="E20" s="24"/>
      <c r="F20" s="24"/>
      <c r="G20" s="24"/>
      <c r="H20" s="24"/>
      <c r="I20" s="24"/>
      <c r="J20" s="24"/>
      <c r="K20" s="1"/>
    </row>
    <row r="21" spans="1:1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2.1" customHeight="1">
      <c r="A22" s="24" t="s">
        <v>200</v>
      </c>
      <c r="B22" s="24"/>
      <c r="C22" s="24"/>
      <c r="D22" s="24"/>
      <c r="E22" s="24"/>
      <c r="F22" s="24"/>
      <c r="G22" s="24"/>
      <c r="H22" s="24"/>
      <c r="I22" s="24"/>
      <c r="J22" s="24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2.1" customHeight="1">
      <c r="A24" s="24" t="s">
        <v>201</v>
      </c>
      <c r="B24" s="24"/>
      <c r="C24" s="24"/>
      <c r="D24" s="24"/>
      <c r="E24" s="24"/>
      <c r="F24" s="24"/>
      <c r="G24" s="24"/>
      <c r="H24" s="24"/>
      <c r="I24" s="24"/>
      <c r="J24" s="24"/>
      <c r="K24" s="1"/>
    </row>
    <row r="25" spans="1:11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32.1" customHeight="1">
      <c r="A26" s="24" t="s">
        <v>202</v>
      </c>
      <c r="B26" s="24"/>
      <c r="C26" s="24"/>
      <c r="D26" s="24"/>
      <c r="E26" s="24"/>
      <c r="F26" s="24"/>
      <c r="G26" s="24"/>
      <c r="H26" s="24"/>
      <c r="I26" s="24"/>
      <c r="J26" s="24"/>
      <c r="K26" s="1"/>
    </row>
    <row r="27" spans="1:11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32.1" customHeight="1">
      <c r="A28" s="24" t="s">
        <v>203</v>
      </c>
      <c r="B28" s="24"/>
      <c r="C28" s="24"/>
      <c r="D28" s="24"/>
      <c r="E28" s="24"/>
      <c r="F28" s="24"/>
      <c r="G28" s="24"/>
      <c r="H28" s="24"/>
      <c r="I28" s="24"/>
      <c r="J28" s="24"/>
      <c r="K28" s="1"/>
    </row>
    <row r="29" spans="1:11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32.1" customHeight="1">
      <c r="A30" s="24" t="s">
        <v>204</v>
      </c>
      <c r="B30" s="24"/>
      <c r="C30" s="24"/>
      <c r="D30" s="24"/>
      <c r="E30" s="24"/>
      <c r="F30" s="24"/>
      <c r="G30" s="24"/>
      <c r="H30" s="24"/>
      <c r="I30" s="24"/>
      <c r="J30" s="24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32.1" customHeight="1">
      <c r="A32" s="24" t="s">
        <v>205</v>
      </c>
      <c r="B32" s="24"/>
      <c r="C32" s="24"/>
      <c r="D32" s="24"/>
      <c r="E32" s="24"/>
      <c r="F32" s="24"/>
      <c r="G32" s="24"/>
      <c r="H32" s="24"/>
      <c r="I32" s="24"/>
      <c r="J32" s="24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32.1" customHeight="1">
      <c r="A34" s="24" t="s">
        <v>206</v>
      </c>
      <c r="B34" s="24"/>
      <c r="C34" s="24"/>
      <c r="D34" s="24"/>
      <c r="E34" s="24"/>
      <c r="F34" s="24"/>
      <c r="G34" s="24"/>
      <c r="H34" s="24"/>
      <c r="I34" s="24"/>
      <c r="J34" s="24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32.1" customHeight="1">
      <c r="A36" s="24" t="s">
        <v>207</v>
      </c>
      <c r="B36" s="24"/>
      <c r="C36" s="24"/>
      <c r="D36" s="24"/>
      <c r="E36" s="24"/>
      <c r="F36" s="24"/>
      <c r="G36" s="24"/>
      <c r="H36" s="24"/>
      <c r="I36" s="24"/>
      <c r="J36" s="24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32.1" customHeight="1">
      <c r="A38" s="24" t="s">
        <v>208</v>
      </c>
      <c r="B38" s="24"/>
      <c r="C38" s="24"/>
      <c r="D38" s="24"/>
      <c r="E38" s="24"/>
      <c r="F38" s="24"/>
      <c r="G38" s="24"/>
      <c r="H38" s="24"/>
      <c r="I38" s="24"/>
      <c r="J38" s="24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32.1" customHeight="1">
      <c r="A40" s="24" t="s">
        <v>209</v>
      </c>
      <c r="B40" s="24"/>
      <c r="C40" s="24"/>
      <c r="D40" s="24"/>
      <c r="E40" s="24"/>
      <c r="F40" s="24"/>
      <c r="G40" s="24"/>
      <c r="H40" s="24"/>
      <c r="I40" s="24"/>
      <c r="J40" s="24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32.1" customHeight="1">
      <c r="A42" s="24" t="s">
        <v>210</v>
      </c>
      <c r="B42" s="24"/>
      <c r="C42" s="24"/>
      <c r="D42" s="24"/>
      <c r="E42" s="24"/>
      <c r="F42" s="24"/>
      <c r="G42" s="24"/>
      <c r="H42" s="24"/>
      <c r="I42" s="24"/>
      <c r="J42" s="24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30" customHeight="1">
      <c r="A46" s="2" t="s">
        <v>211</v>
      </c>
      <c r="B46" s="2" t="s">
        <v>212</v>
      </c>
      <c r="C46" s="2" t="s">
        <v>213</v>
      </c>
      <c r="D46" s="2" t="s">
        <v>214</v>
      </c>
      <c r="E46" s="1"/>
      <c r="F46" s="1"/>
      <c r="G46" s="1"/>
      <c r="H46" s="1"/>
      <c r="I46" s="1"/>
      <c r="J46" s="1"/>
      <c r="K46" s="1"/>
    </row>
    <row r="47" spans="1:11" ht="24" customHeight="1">
      <c r="A47" s="1" t="s">
        <v>215</v>
      </c>
      <c r="B47" s="1" t="s">
        <v>216</v>
      </c>
      <c r="C47" s="1" t="s">
        <v>217</v>
      </c>
      <c r="D47" s="1" t="s">
        <v>218</v>
      </c>
      <c r="E47" s="1"/>
      <c r="F47" s="1"/>
      <c r="G47" s="1"/>
      <c r="H47" s="1"/>
      <c r="I47" s="1"/>
      <c r="J47" s="1"/>
      <c r="K47" s="1"/>
    </row>
    <row r="48" spans="1:11" ht="24" customHeight="1">
      <c r="A48" s="1" t="s">
        <v>219</v>
      </c>
      <c r="B48" s="1" t="s">
        <v>216</v>
      </c>
      <c r="C48" s="1" t="s">
        <v>217</v>
      </c>
      <c r="D48" s="1" t="s">
        <v>218</v>
      </c>
      <c r="E48" s="1"/>
      <c r="F48" s="1"/>
      <c r="G48" s="1"/>
      <c r="H48" s="1"/>
      <c r="I48" s="1"/>
      <c r="J48" s="1"/>
      <c r="K48" s="1"/>
    </row>
    <row r="49" spans="1:11" ht="24" customHeight="1">
      <c r="A49" s="1" t="s">
        <v>220</v>
      </c>
      <c r="B49" s="1" t="s">
        <v>221</v>
      </c>
      <c r="C49" s="1" t="s">
        <v>217</v>
      </c>
      <c r="D49" s="1" t="s">
        <v>218</v>
      </c>
      <c r="E49" s="1"/>
      <c r="F49" s="1"/>
      <c r="G49" s="1"/>
      <c r="H49" s="1"/>
      <c r="I49" s="1"/>
      <c r="J49" s="1"/>
      <c r="K49" s="1"/>
    </row>
    <row r="50" spans="1:11" ht="24" customHeight="1">
      <c r="A50" s="1" t="s">
        <v>222</v>
      </c>
      <c r="B50" s="1" t="s">
        <v>223</v>
      </c>
      <c r="C50" s="1" t="s">
        <v>217</v>
      </c>
      <c r="D50" s="1" t="s">
        <v>218</v>
      </c>
      <c r="E50" s="1"/>
      <c r="F50" s="1"/>
      <c r="G50" s="1"/>
      <c r="H50" s="1"/>
      <c r="I50" s="1"/>
      <c r="J50" s="1"/>
      <c r="K50" s="1"/>
    </row>
    <row r="51" spans="1:11" ht="24" customHeight="1">
      <c r="A51" s="1" t="s">
        <v>224</v>
      </c>
      <c r="B51" s="1" t="s">
        <v>221</v>
      </c>
      <c r="C51" s="1" t="s">
        <v>217</v>
      </c>
      <c r="D51" s="1" t="s">
        <v>218</v>
      </c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32.1" customHeight="1">
      <c r="A54" s="24" t="s">
        <v>225</v>
      </c>
      <c r="B54" s="24"/>
      <c r="C54" s="24"/>
      <c r="D54" s="24"/>
      <c r="E54" s="24"/>
      <c r="F54" s="24"/>
      <c r="G54" s="24"/>
      <c r="H54" s="24"/>
      <c r="I54" s="24"/>
      <c r="J54" s="24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32.1" customHeight="1">
      <c r="A56" s="24" t="s">
        <v>226</v>
      </c>
      <c r="B56" s="24"/>
      <c r="C56" s="24"/>
      <c r="D56" s="24"/>
      <c r="E56" s="24"/>
      <c r="F56" s="24"/>
      <c r="G56" s="24"/>
      <c r="H56" s="24"/>
      <c r="I56" s="24"/>
      <c r="J56" s="24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23">
    <mergeCell ref="A2:J2"/>
    <mergeCell ref="A4:J4"/>
    <mergeCell ref="A6:J6"/>
    <mergeCell ref="A8:J8"/>
    <mergeCell ref="A10:J10"/>
    <mergeCell ref="A12:J12"/>
    <mergeCell ref="A14:J14"/>
    <mergeCell ref="A16:J16"/>
    <mergeCell ref="A18:J18"/>
    <mergeCell ref="A20:J20"/>
    <mergeCell ref="A22:J22"/>
    <mergeCell ref="A24:J24"/>
    <mergeCell ref="A26:J26"/>
    <mergeCell ref="A28:J28"/>
    <mergeCell ref="A30:J30"/>
    <mergeCell ref="A42:J42"/>
    <mergeCell ref="A54:J54"/>
    <mergeCell ref="A56:J56"/>
    <mergeCell ref="A32:J32"/>
    <mergeCell ref="A34:J34"/>
    <mergeCell ref="A36:J36"/>
    <mergeCell ref="A38:J38"/>
    <mergeCell ref="A40:J40"/>
  </mergeCells>
  <phoneticPr fontId="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9E8F"/>
    <pageSetUpPr fitToPage="1"/>
  </sheetPr>
  <dimension ref="A1:Z100"/>
  <sheetViews>
    <sheetView showGridLines="0" tabSelected="1" zoomScale="80" zoomScaleNormal="100" workbookViewId="0"/>
  </sheetViews>
  <sheetFormatPr defaultRowHeight="15"/>
  <cols>
    <col min="1" max="1" width="18.625" customWidth="1"/>
    <col min="2" max="25" width="11.625" customWidth="1"/>
    <col min="26" max="26" width="18.625" customWidth="1"/>
  </cols>
  <sheetData>
    <row r="1" spans="1:26" ht="24.9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30" customHeight="1">
      <c r="A2" s="47" t="s">
        <v>296</v>
      </c>
      <c r="B2" s="49" t="s">
        <v>297</v>
      </c>
      <c r="C2" s="50"/>
      <c r="D2" s="50"/>
      <c r="E2" s="50"/>
      <c r="F2" s="50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18" customHeight="1">
      <c r="A3" s="51" t="s">
        <v>227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24.9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50" customHeigh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20.100000000000001" customHeight="1">
      <c r="A6" s="53" t="s">
        <v>298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24.95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8" customHeight="1">
      <c r="A8" s="54" t="s">
        <v>299</v>
      </c>
      <c r="B8" s="55"/>
      <c r="C8" s="55"/>
      <c r="D8" s="54" t="s">
        <v>300</v>
      </c>
      <c r="E8" s="55"/>
      <c r="F8" s="55"/>
      <c r="G8" s="54" t="s">
        <v>301</v>
      </c>
      <c r="H8" s="55"/>
      <c r="I8" s="55"/>
      <c r="J8" s="54" t="s">
        <v>302</v>
      </c>
      <c r="K8" s="55"/>
      <c r="L8" s="55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32.1" customHeight="1">
      <c r="A9" s="57">
        <f>ROUND(GETPIVOTDATA("売上合計",制御!$H$14),0)</f>
        <v>47492700</v>
      </c>
      <c r="B9" s="56"/>
      <c r="C9" s="56"/>
      <c r="D9" s="57">
        <f>ROUND(GETPIVOTDATA("差額合計",制御!$H$14),0)</f>
        <v>18852426</v>
      </c>
      <c r="E9" s="56"/>
      <c r="F9" s="56"/>
      <c r="G9" s="58">
        <f>IF(A9=0,"算出不可",D9/A9)</f>
        <v>0.39695418453783421</v>
      </c>
      <c r="H9" s="56"/>
      <c r="I9" s="56"/>
      <c r="J9" s="58">
        <f>IFERROR(GETPIVOTDATA("売上（万円）",制御!$H$20,"年",2026)/GETPIVOTDATA("売上（万円）",制御!$H$20,"年",2025)-1,"算出不可")</f>
        <v>-1.1131169147547193E-2</v>
      </c>
      <c r="K9" s="56"/>
      <c r="L9" s="5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24.9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33.950000000000003" customHeight="1">
      <c r="A11" s="59" t="s">
        <v>230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24.9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24.9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24.9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24.9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24.9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24.9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24.9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24.9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24.9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24.9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24.9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24.9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24.9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24.9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24.9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30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32.1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32.1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32.1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32.1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32.1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32.1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32.1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32.1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24.9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24.9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24.9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24.9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24.9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24.9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30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24.9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21.95" customHeight="1">
      <c r="A44" s="61" t="s">
        <v>303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20.100000000000001" customHeight="1">
      <c r="A45" s="62" t="s">
        <v>304</v>
      </c>
      <c r="B45" s="62" t="s">
        <v>267</v>
      </c>
      <c r="C45" s="62" t="s">
        <v>268</v>
      </c>
      <c r="D45" s="62" t="s">
        <v>269</v>
      </c>
      <c r="E45" s="62" t="s">
        <v>270</v>
      </c>
      <c r="F45" s="62" t="s">
        <v>271</v>
      </c>
      <c r="G45" s="62" t="s">
        <v>272</v>
      </c>
      <c r="H45" s="62" t="s">
        <v>273</v>
      </c>
      <c r="I45" s="62" t="s">
        <v>274</v>
      </c>
      <c r="J45" s="62" t="s">
        <v>275</v>
      </c>
      <c r="K45" s="62" t="s">
        <v>276</v>
      </c>
      <c r="L45" s="62" t="s">
        <v>277</v>
      </c>
      <c r="M45" s="62" t="s">
        <v>278</v>
      </c>
      <c r="N45" s="62" t="s">
        <v>279</v>
      </c>
      <c r="O45" s="62" t="s">
        <v>280</v>
      </c>
      <c r="P45" s="62" t="s">
        <v>281</v>
      </c>
      <c r="Q45" s="62" t="s">
        <v>282</v>
      </c>
      <c r="R45" s="62" t="s">
        <v>283</v>
      </c>
      <c r="S45" s="62" t="s">
        <v>284</v>
      </c>
      <c r="T45" s="62" t="s">
        <v>285</v>
      </c>
      <c r="U45" s="62" t="s">
        <v>286</v>
      </c>
      <c r="V45" s="62" t="s">
        <v>287</v>
      </c>
      <c r="W45" s="62" t="s">
        <v>288</v>
      </c>
      <c r="X45" s="62" t="s">
        <v>289</v>
      </c>
      <c r="Y45" s="62" t="s">
        <v>290</v>
      </c>
      <c r="Z45" s="62" t="s">
        <v>305</v>
      </c>
    </row>
    <row r="46" spans="1:26" ht="20.100000000000001" customHeight="1">
      <c r="A46" s="63" t="str">
        <f>IF(ROW()-45&gt;COUNTA(商品マスタ!$B$5:$B$24),"",INDEX(商品マスタ!$B$5:$B$24,ROW()-45))</f>
        <v>テーブル</v>
      </c>
      <c r="B46" s="64" t="str">
        <f>IF($A46="","",IFERROR(ROUND(GETPIVOTDATA("売上（万円）",制御!$H$2,"商品",$A46,"年月",B$45),0),""))</f>
        <v/>
      </c>
      <c r="C46" s="64" t="str">
        <f>IF($A46="","",IFERROR(ROUND(GETPIVOTDATA("売上（万円）",制御!$H$2,"商品",$A46,"年月",C$45),0),""))</f>
        <v/>
      </c>
      <c r="D46" s="64" t="str">
        <f>IF($A46="","",IFERROR(ROUND(GETPIVOTDATA("売上（万円）",制御!$H$2,"商品",$A46,"年月",D$45),0),""))</f>
        <v/>
      </c>
      <c r="E46" s="64" t="str">
        <f>IF($A46="","",IFERROR(ROUND(GETPIVOTDATA("売上（万円）",制御!$H$2,"商品",$A46,"年月",E$45),0),""))</f>
        <v/>
      </c>
      <c r="F46" s="64" t="str">
        <f>IF($A46="","",IFERROR(ROUND(GETPIVOTDATA("売上（万円）",制御!$H$2,"商品",$A46,"年月",F$45),0),""))</f>
        <v/>
      </c>
      <c r="G46" s="64" t="str">
        <f>IF($A46="","",IFERROR(ROUND(GETPIVOTDATA("売上（万円）",制御!$H$2,"商品",$A46,"年月",G$45),0),""))</f>
        <v/>
      </c>
      <c r="H46" s="64" t="str">
        <f>IF($A46="","",IFERROR(ROUND(GETPIVOTDATA("売上（万円）",制御!$H$2,"商品",$A46,"年月",H$45),0),""))</f>
        <v/>
      </c>
      <c r="I46" s="64" t="str">
        <f>IF($A46="","",IFERROR(ROUND(GETPIVOTDATA("売上（万円）",制御!$H$2,"商品",$A46,"年月",I$45),0),""))</f>
        <v/>
      </c>
      <c r="J46" s="64" t="str">
        <f>IF($A46="","",IFERROR(ROUND(GETPIVOTDATA("売上（万円）",制御!$H$2,"商品",$A46,"年月",J$45),0),""))</f>
        <v/>
      </c>
      <c r="K46" s="64" t="str">
        <f>IF($A46="","",IFERROR(ROUND(GETPIVOTDATA("売上（万円）",制御!$H$2,"商品",$A46,"年月",K$45),0),""))</f>
        <v/>
      </c>
      <c r="L46" s="64" t="str">
        <f>IF($A46="","",IFERROR(ROUND(GETPIVOTDATA("売上（万円）",制御!$H$2,"商品",$A46,"年月",L$45),0),""))</f>
        <v/>
      </c>
      <c r="M46" s="64" t="str">
        <f>IF($A46="","",IFERROR(ROUND(GETPIVOTDATA("売上（万円）",制御!$H$2,"商品",$A46,"年月",M$45),0),""))</f>
        <v/>
      </c>
      <c r="N46" s="64">
        <f>IF($A46="","",IFERROR(ROUND(GETPIVOTDATA("売上（万円）",制御!$H$2,"商品",$A46,"年月",N$45),0),""))</f>
        <v>170</v>
      </c>
      <c r="O46" s="64">
        <f>IF($A46="","",IFERROR(ROUND(GETPIVOTDATA("売上（万円）",制御!$H$2,"商品",$A46,"年月",O$45),0),""))</f>
        <v>105</v>
      </c>
      <c r="P46" s="64">
        <f>IF($A46="","",IFERROR(ROUND(GETPIVOTDATA("売上（万円）",制御!$H$2,"商品",$A46,"年月",P$45),0),""))</f>
        <v>125</v>
      </c>
      <c r="Q46" s="64">
        <f>IF($A46="","",IFERROR(ROUND(GETPIVOTDATA("売上（万円）",制御!$H$2,"商品",$A46,"年月",Q$45),0),""))</f>
        <v>145</v>
      </c>
      <c r="R46" s="64">
        <f>IF($A46="","",IFERROR(ROUND(GETPIVOTDATA("売上（万円）",制御!$H$2,"商品",$A46,"年月",R$45),0),""))</f>
        <v>165</v>
      </c>
      <c r="S46" s="64">
        <f>IF($A46="","",IFERROR(ROUND(GETPIVOTDATA("売上（万円）",制御!$H$2,"商品",$A46,"年月",S$45),0),""))</f>
        <v>185</v>
      </c>
      <c r="T46" s="64">
        <f>IF($A46="","",IFERROR(ROUND(GETPIVOTDATA("売上（万円）",制御!$H$2,"商品",$A46,"年月",T$45),0),""))</f>
        <v>120</v>
      </c>
      <c r="U46" s="64">
        <f>IF($A46="","",IFERROR(ROUND(GETPIVOTDATA("売上（万円）",制御!$H$2,"商品",$A46,"年月",U$45),0),""))</f>
        <v>140</v>
      </c>
      <c r="V46" s="64">
        <f>IF($A46="","",IFERROR(ROUND(GETPIVOTDATA("売上（万円）",制御!$H$2,"商品",$A46,"年月",V$45),0),""))</f>
        <v>160</v>
      </c>
      <c r="W46" s="64">
        <f>IF($A46="","",IFERROR(ROUND(GETPIVOTDATA("売上（万円）",制御!$H$2,"商品",$A46,"年月",W$45),0),""))</f>
        <v>180</v>
      </c>
      <c r="X46" s="64">
        <f>IF($A46="","",IFERROR(ROUND(GETPIVOTDATA("売上（万円）",制御!$H$2,"商品",$A46,"年月",X$45),0),""))</f>
        <v>115</v>
      </c>
      <c r="Y46" s="64">
        <f>IF($A46="","",IFERROR(ROUND(GETPIVOTDATA("売上（万円）",制御!$H$2,"商品",$A46,"年月",Y$45),0),""))</f>
        <v>135</v>
      </c>
      <c r="Z46" s="46"/>
    </row>
    <row r="47" spans="1:26" ht="20.100000000000001" customHeight="1">
      <c r="A47" s="63" t="str">
        <f>IF(ROW()-45&gt;COUNTA(商品マスタ!$B$5:$B$24),"",INDEX(商品マスタ!$B$5:$B$24,ROW()-45))</f>
        <v>椅子</v>
      </c>
      <c r="B47" s="64" t="str">
        <f>IF($A47="","",IFERROR(ROUND(GETPIVOTDATA("売上（万円）",制御!$H$2,"商品",$A47,"年月",B$45),0),""))</f>
        <v/>
      </c>
      <c r="C47" s="64" t="str">
        <f>IF($A47="","",IFERROR(ROUND(GETPIVOTDATA("売上（万円）",制御!$H$2,"商品",$A47,"年月",C$45),0),""))</f>
        <v/>
      </c>
      <c r="D47" s="64" t="str">
        <f>IF($A47="","",IFERROR(ROUND(GETPIVOTDATA("売上（万円）",制御!$H$2,"商品",$A47,"年月",D$45),0),""))</f>
        <v/>
      </c>
      <c r="E47" s="64" t="str">
        <f>IF($A47="","",IFERROR(ROUND(GETPIVOTDATA("売上（万円）",制御!$H$2,"商品",$A47,"年月",E$45),0),""))</f>
        <v/>
      </c>
      <c r="F47" s="64" t="str">
        <f>IF($A47="","",IFERROR(ROUND(GETPIVOTDATA("売上（万円）",制御!$H$2,"商品",$A47,"年月",F$45),0),""))</f>
        <v/>
      </c>
      <c r="G47" s="64" t="str">
        <f>IF($A47="","",IFERROR(ROUND(GETPIVOTDATA("売上（万円）",制御!$H$2,"商品",$A47,"年月",G$45),0),""))</f>
        <v/>
      </c>
      <c r="H47" s="64" t="str">
        <f>IF($A47="","",IFERROR(ROUND(GETPIVOTDATA("売上（万円）",制御!$H$2,"商品",$A47,"年月",H$45),0),""))</f>
        <v/>
      </c>
      <c r="I47" s="64" t="str">
        <f>IF($A47="","",IFERROR(ROUND(GETPIVOTDATA("売上（万円）",制御!$H$2,"商品",$A47,"年月",I$45),0),""))</f>
        <v/>
      </c>
      <c r="J47" s="64" t="str">
        <f>IF($A47="","",IFERROR(ROUND(GETPIVOTDATA("売上（万円）",制御!$H$2,"商品",$A47,"年月",J$45),0),""))</f>
        <v/>
      </c>
      <c r="K47" s="64" t="str">
        <f>IF($A47="","",IFERROR(ROUND(GETPIVOTDATA("売上（万円）",制御!$H$2,"商品",$A47,"年月",K$45),0),""))</f>
        <v/>
      </c>
      <c r="L47" s="64" t="str">
        <f>IF($A47="","",IFERROR(ROUND(GETPIVOTDATA("売上（万円）",制御!$H$2,"商品",$A47,"年月",L$45),0),""))</f>
        <v/>
      </c>
      <c r="M47" s="64" t="str">
        <f>IF($A47="","",IFERROR(ROUND(GETPIVOTDATA("売上（万円）",制御!$H$2,"商品",$A47,"年月",M$45),0),""))</f>
        <v/>
      </c>
      <c r="N47" s="64">
        <f>IF($A47="","",IFERROR(ROUND(GETPIVOTDATA("売上（万円）",制御!$H$2,"商品",$A47,"年月",N$45),0),""))</f>
        <v>39</v>
      </c>
      <c r="O47" s="64">
        <f>IF($A47="","",IFERROR(ROUND(GETPIVOTDATA("売上（万円）",制御!$H$2,"商品",$A47,"年月",O$45),0),""))</f>
        <v>45</v>
      </c>
      <c r="P47" s="64">
        <f>IF($A47="","",IFERROR(ROUND(GETPIVOTDATA("売上（万円）",制御!$H$2,"商品",$A47,"年月",P$45),0),""))</f>
        <v>51</v>
      </c>
      <c r="Q47" s="64">
        <f>IF($A47="","",IFERROR(ROUND(GETPIVOTDATA("売上（万円）",制御!$H$2,"商品",$A47,"年月",Q$45),0),""))</f>
        <v>32</v>
      </c>
      <c r="R47" s="64">
        <f>IF($A47="","",IFERROR(ROUND(GETPIVOTDATA("売上（万円）",制御!$H$2,"商品",$A47,"年月",R$45),0),""))</f>
        <v>38</v>
      </c>
      <c r="S47" s="64">
        <f>IF($A47="","",IFERROR(ROUND(GETPIVOTDATA("売上（万円）",制御!$H$2,"商品",$A47,"年月",S$45),0),""))</f>
        <v>44</v>
      </c>
      <c r="T47" s="64">
        <f>IF($A47="","",IFERROR(ROUND(GETPIVOTDATA("売上（万円）",制御!$H$2,"商品",$A47,"年月",T$45),0),""))</f>
        <v>50</v>
      </c>
      <c r="U47" s="64">
        <f>IF($A47="","",IFERROR(ROUND(GETPIVOTDATA("売上（万円）",制御!$H$2,"商品",$A47,"年月",U$45),0),""))</f>
        <v>56</v>
      </c>
      <c r="V47" s="64">
        <f>IF($A47="","",IFERROR(ROUND(GETPIVOTDATA("売上（万円）",制御!$H$2,"商品",$A47,"年月",V$45),0),""))</f>
        <v>36</v>
      </c>
      <c r="W47" s="64">
        <f>IF($A47="","",IFERROR(ROUND(GETPIVOTDATA("売上（万円）",制御!$H$2,"商品",$A47,"年月",W$45),0),""))</f>
        <v>42</v>
      </c>
      <c r="X47" s="64">
        <f>IF($A47="","",IFERROR(ROUND(GETPIVOTDATA("売上（万円）",制御!$H$2,"商品",$A47,"年月",X$45),0),""))</f>
        <v>48</v>
      </c>
      <c r="Y47" s="64">
        <f>IF($A47="","",IFERROR(ROUND(GETPIVOTDATA("売上（万円）",制御!$H$2,"商品",$A47,"年月",Y$45),0),""))</f>
        <v>54</v>
      </c>
      <c r="Z47" s="46"/>
    </row>
    <row r="48" spans="1:26" ht="20.100000000000001" customHeight="1">
      <c r="A48" s="63" t="str">
        <f>IF(ROW()-45&gt;COUNTA(商品マスタ!$B$5:$B$24),"",INDEX(商品マスタ!$B$5:$B$24,ROW()-45))</f>
        <v>収納棚</v>
      </c>
      <c r="B48" s="64" t="str">
        <f>IF($A48="","",IFERROR(ROUND(GETPIVOTDATA("売上（万円）",制御!$H$2,"商品",$A48,"年月",B$45),0),""))</f>
        <v/>
      </c>
      <c r="C48" s="64" t="str">
        <f>IF($A48="","",IFERROR(ROUND(GETPIVOTDATA("売上（万円）",制御!$H$2,"商品",$A48,"年月",C$45),0),""))</f>
        <v/>
      </c>
      <c r="D48" s="64" t="str">
        <f>IF($A48="","",IFERROR(ROUND(GETPIVOTDATA("売上（万円）",制御!$H$2,"商品",$A48,"年月",D$45),0),""))</f>
        <v/>
      </c>
      <c r="E48" s="64" t="str">
        <f>IF($A48="","",IFERROR(ROUND(GETPIVOTDATA("売上（万円）",制御!$H$2,"商品",$A48,"年月",E$45),0),""))</f>
        <v/>
      </c>
      <c r="F48" s="64" t="str">
        <f>IF($A48="","",IFERROR(ROUND(GETPIVOTDATA("売上（万円）",制御!$H$2,"商品",$A48,"年月",F$45),0),""))</f>
        <v/>
      </c>
      <c r="G48" s="64" t="str">
        <f>IF($A48="","",IFERROR(ROUND(GETPIVOTDATA("売上（万円）",制御!$H$2,"商品",$A48,"年月",G$45),0),""))</f>
        <v/>
      </c>
      <c r="H48" s="64" t="str">
        <f>IF($A48="","",IFERROR(ROUND(GETPIVOTDATA("売上（万円）",制御!$H$2,"商品",$A48,"年月",H$45),0),""))</f>
        <v/>
      </c>
      <c r="I48" s="64" t="str">
        <f>IF($A48="","",IFERROR(ROUND(GETPIVOTDATA("売上（万円）",制御!$H$2,"商品",$A48,"年月",I$45),0),""))</f>
        <v/>
      </c>
      <c r="J48" s="64" t="str">
        <f>IF($A48="","",IFERROR(ROUND(GETPIVOTDATA("売上（万円）",制御!$H$2,"商品",$A48,"年月",J$45),0),""))</f>
        <v/>
      </c>
      <c r="K48" s="64" t="str">
        <f>IF($A48="","",IFERROR(ROUND(GETPIVOTDATA("売上（万円）",制御!$H$2,"商品",$A48,"年月",K$45),0),""))</f>
        <v/>
      </c>
      <c r="L48" s="64" t="str">
        <f>IF($A48="","",IFERROR(ROUND(GETPIVOTDATA("売上（万円）",制御!$H$2,"商品",$A48,"年月",L$45),0),""))</f>
        <v/>
      </c>
      <c r="M48" s="64" t="str">
        <f>IF($A48="","",IFERROR(ROUND(GETPIVOTDATA("売上（万円）",制御!$H$2,"商品",$A48,"年月",M$45),0),""))</f>
        <v/>
      </c>
      <c r="N48" s="64">
        <f>IF($A48="","",IFERROR(ROUND(GETPIVOTDATA("売上（万円）",制御!$H$2,"商品",$A48,"年月",N$45),0),""))</f>
        <v>123</v>
      </c>
      <c r="O48" s="64">
        <f>IF($A48="","",IFERROR(ROUND(GETPIVOTDATA("売上（万円）",制御!$H$2,"商品",$A48,"年月",O$45),0),""))</f>
        <v>137</v>
      </c>
      <c r="P48" s="64">
        <f>IF($A48="","",IFERROR(ROUND(GETPIVOTDATA("売上（万円）",制御!$H$2,"商品",$A48,"年月",P$45),0),""))</f>
        <v>91</v>
      </c>
      <c r="Q48" s="64">
        <f>IF($A48="","",IFERROR(ROUND(GETPIVOTDATA("売上（万円）",制御!$H$2,"商品",$A48,"年月",Q$45),0),""))</f>
        <v>105</v>
      </c>
      <c r="R48" s="64">
        <f>IF($A48="","",IFERROR(ROUND(GETPIVOTDATA("売上（万円）",制御!$H$2,"商品",$A48,"年月",R$45),0),""))</f>
        <v>119</v>
      </c>
      <c r="S48" s="64">
        <f>IF($A48="","",IFERROR(ROUND(GETPIVOTDATA("売上（万円）",制御!$H$2,"商品",$A48,"年月",S$45),0),""))</f>
        <v>74</v>
      </c>
      <c r="T48" s="64">
        <f>IF($A48="","",IFERROR(ROUND(GETPIVOTDATA("売上（万円）",制御!$H$2,"商品",$A48,"年月",T$45),0),""))</f>
        <v>88</v>
      </c>
      <c r="U48" s="64">
        <f>IF($A48="","",IFERROR(ROUND(GETPIVOTDATA("売上（万円）",制御!$H$2,"商品",$A48,"年月",U$45),0),""))</f>
        <v>102</v>
      </c>
      <c r="V48" s="64">
        <f>IF($A48="","",IFERROR(ROUND(GETPIVOTDATA("売上（万円）",制御!$H$2,"商品",$A48,"年月",V$45),0),""))</f>
        <v>116</v>
      </c>
      <c r="W48" s="64">
        <f>IF($A48="","",IFERROR(ROUND(GETPIVOTDATA("売上（万円）",制御!$H$2,"商品",$A48,"年月",W$45),0),""))</f>
        <v>130</v>
      </c>
      <c r="X48" s="64">
        <f>IF($A48="","",IFERROR(ROUND(GETPIVOTDATA("売上（万円）",制御!$H$2,"商品",$A48,"年月",X$45),0),""))</f>
        <v>84</v>
      </c>
      <c r="Y48" s="64">
        <f>IF($A48="","",IFERROR(ROUND(GETPIVOTDATA("売上（万円）",制御!$H$2,"商品",$A48,"年月",Y$45),0),""))</f>
        <v>98</v>
      </c>
      <c r="Z48" s="46"/>
    </row>
    <row r="49" spans="1:26" ht="20.100000000000001" customHeight="1">
      <c r="A49" s="63" t="str">
        <f>IF(ROW()-45&gt;COUNTA(商品マスタ!$B$5:$B$24),"",INDEX(商品マスタ!$B$5:$B$24,ROW()-45))</f>
        <v>木製小物</v>
      </c>
      <c r="B49" s="64" t="str">
        <f>IF($A49="","",IFERROR(ROUND(GETPIVOTDATA("売上（万円）",制御!$H$2,"商品",$A49,"年月",B$45),0),""))</f>
        <v/>
      </c>
      <c r="C49" s="64" t="str">
        <f>IF($A49="","",IFERROR(ROUND(GETPIVOTDATA("売上（万円）",制御!$H$2,"商品",$A49,"年月",C$45),0),""))</f>
        <v/>
      </c>
      <c r="D49" s="64" t="str">
        <f>IF($A49="","",IFERROR(ROUND(GETPIVOTDATA("売上（万円）",制御!$H$2,"商品",$A49,"年月",D$45),0),""))</f>
        <v/>
      </c>
      <c r="E49" s="64" t="str">
        <f>IF($A49="","",IFERROR(ROUND(GETPIVOTDATA("売上（万円）",制御!$H$2,"商品",$A49,"年月",E$45),0),""))</f>
        <v/>
      </c>
      <c r="F49" s="64" t="str">
        <f>IF($A49="","",IFERROR(ROUND(GETPIVOTDATA("売上（万円）",制御!$H$2,"商品",$A49,"年月",F$45),0),""))</f>
        <v/>
      </c>
      <c r="G49" s="64" t="str">
        <f>IF($A49="","",IFERROR(ROUND(GETPIVOTDATA("売上（万円）",制御!$H$2,"商品",$A49,"年月",G$45),0),""))</f>
        <v/>
      </c>
      <c r="H49" s="64" t="str">
        <f>IF($A49="","",IFERROR(ROUND(GETPIVOTDATA("売上（万円）",制御!$H$2,"商品",$A49,"年月",H$45),0),""))</f>
        <v/>
      </c>
      <c r="I49" s="64" t="str">
        <f>IF($A49="","",IFERROR(ROUND(GETPIVOTDATA("売上（万円）",制御!$H$2,"商品",$A49,"年月",I$45),0),""))</f>
        <v/>
      </c>
      <c r="J49" s="64" t="str">
        <f>IF($A49="","",IFERROR(ROUND(GETPIVOTDATA("売上（万円）",制御!$H$2,"商品",$A49,"年月",J$45),0),""))</f>
        <v/>
      </c>
      <c r="K49" s="64" t="str">
        <f>IF($A49="","",IFERROR(ROUND(GETPIVOTDATA("売上（万円）",制御!$H$2,"商品",$A49,"年月",K$45),0),""))</f>
        <v/>
      </c>
      <c r="L49" s="64" t="str">
        <f>IF($A49="","",IFERROR(ROUND(GETPIVOTDATA("売上（万円）",制御!$H$2,"商品",$A49,"年月",L$45),0),""))</f>
        <v/>
      </c>
      <c r="M49" s="64" t="str">
        <f>IF($A49="","",IFERROR(ROUND(GETPIVOTDATA("売上（万円）",制御!$H$2,"商品",$A49,"年月",M$45),0),""))</f>
        <v/>
      </c>
      <c r="N49" s="64">
        <f>IF($A49="","",IFERROR(ROUND(GETPIVOTDATA("売上（万円）",制御!$H$2,"商品",$A49,"年月",N$45),0),""))</f>
        <v>7</v>
      </c>
      <c r="O49" s="64">
        <f>IF($A49="","",IFERROR(ROUND(GETPIVOTDATA("売上（万円）",制御!$H$2,"商品",$A49,"年月",O$45),0),""))</f>
        <v>8</v>
      </c>
      <c r="P49" s="64">
        <f>IF($A49="","",IFERROR(ROUND(GETPIVOTDATA("売上（万円）",制御!$H$2,"商品",$A49,"年月",P$45),0),""))</f>
        <v>9</v>
      </c>
      <c r="Q49" s="64">
        <f>IF($A49="","",IFERROR(ROUND(GETPIVOTDATA("売上（万円）",制御!$H$2,"商品",$A49,"年月",Q$45),0),""))</f>
        <v>10</v>
      </c>
      <c r="R49" s="64">
        <f>IF($A49="","",IFERROR(ROUND(GETPIVOTDATA("売上（万円）",制御!$H$2,"商品",$A49,"年月",R$45),0),""))</f>
        <v>7</v>
      </c>
      <c r="S49" s="64">
        <f>IF($A49="","",IFERROR(ROUND(GETPIVOTDATA("売上（万円）",制御!$H$2,"商品",$A49,"年月",S$45),0),""))</f>
        <v>8</v>
      </c>
      <c r="T49" s="64">
        <f>IF($A49="","",IFERROR(ROUND(GETPIVOTDATA("売上（万円）",制御!$H$2,"商品",$A49,"年月",T$45),0),""))</f>
        <v>9</v>
      </c>
      <c r="U49" s="64">
        <f>IF($A49="","",IFERROR(ROUND(GETPIVOTDATA("売上（万円）",制御!$H$2,"商品",$A49,"年月",U$45),0),""))</f>
        <v>5</v>
      </c>
      <c r="V49" s="64">
        <f>IF($A49="","",IFERROR(ROUND(GETPIVOTDATA("売上（万円）",制御!$H$2,"商品",$A49,"年月",V$45),0),""))</f>
        <v>6</v>
      </c>
      <c r="W49" s="64">
        <f>IF($A49="","",IFERROR(ROUND(GETPIVOTDATA("売上（万円）",制御!$H$2,"商品",$A49,"年月",W$45),0),""))</f>
        <v>7</v>
      </c>
      <c r="X49" s="64">
        <f>IF($A49="","",IFERROR(ROUND(GETPIVOTDATA("売上（万円）",制御!$H$2,"商品",$A49,"年月",X$45),0),""))</f>
        <v>8</v>
      </c>
      <c r="Y49" s="64">
        <f>IF($A49="","",IFERROR(ROUND(GETPIVOTDATA("売上（万円）",制御!$H$2,"商品",$A49,"年月",Y$45),0),""))</f>
        <v>9</v>
      </c>
      <c r="Z49" s="46"/>
    </row>
    <row r="50" spans="1:26" ht="20.100000000000001" customHeight="1">
      <c r="A50" s="63" t="str">
        <f>IF(ROW()-45&gt;COUNTA(商品マスタ!$B$5:$B$24),"",INDEX(商品マスタ!$B$5:$B$24,ROW()-45))</f>
        <v>野菜5kg箱</v>
      </c>
      <c r="B50" s="64" t="str">
        <f>IF($A50="","",IFERROR(ROUND(GETPIVOTDATA("売上（万円）",制御!$H$2,"商品",$A50,"年月",B$45),0),""))</f>
        <v/>
      </c>
      <c r="C50" s="64" t="str">
        <f>IF($A50="","",IFERROR(ROUND(GETPIVOTDATA("売上（万円）",制御!$H$2,"商品",$A50,"年月",C$45),0),""))</f>
        <v/>
      </c>
      <c r="D50" s="64" t="str">
        <f>IF($A50="","",IFERROR(ROUND(GETPIVOTDATA("売上（万円）",制御!$H$2,"商品",$A50,"年月",D$45),0),""))</f>
        <v/>
      </c>
      <c r="E50" s="64" t="str">
        <f>IF($A50="","",IFERROR(ROUND(GETPIVOTDATA("売上（万円）",制御!$H$2,"商品",$A50,"年月",E$45),0),""))</f>
        <v/>
      </c>
      <c r="F50" s="64" t="str">
        <f>IF($A50="","",IFERROR(ROUND(GETPIVOTDATA("売上（万円）",制御!$H$2,"商品",$A50,"年月",F$45),0),""))</f>
        <v/>
      </c>
      <c r="G50" s="64" t="str">
        <f>IF($A50="","",IFERROR(ROUND(GETPIVOTDATA("売上（万円）",制御!$H$2,"商品",$A50,"年月",G$45),0),""))</f>
        <v/>
      </c>
      <c r="H50" s="64" t="str">
        <f>IF($A50="","",IFERROR(ROUND(GETPIVOTDATA("売上（万円）",制御!$H$2,"商品",$A50,"年月",H$45),0),""))</f>
        <v/>
      </c>
      <c r="I50" s="64" t="str">
        <f>IF($A50="","",IFERROR(ROUND(GETPIVOTDATA("売上（万円）",制御!$H$2,"商品",$A50,"年月",I$45),0),""))</f>
        <v/>
      </c>
      <c r="J50" s="64" t="str">
        <f>IF($A50="","",IFERROR(ROUND(GETPIVOTDATA("売上（万円）",制御!$H$2,"商品",$A50,"年月",J$45),0),""))</f>
        <v/>
      </c>
      <c r="K50" s="64" t="str">
        <f>IF($A50="","",IFERROR(ROUND(GETPIVOTDATA("売上（万円）",制御!$H$2,"商品",$A50,"年月",K$45),0),""))</f>
        <v/>
      </c>
      <c r="L50" s="64" t="str">
        <f>IF($A50="","",IFERROR(ROUND(GETPIVOTDATA("売上（万円）",制御!$H$2,"商品",$A50,"年月",L$45),0),""))</f>
        <v/>
      </c>
      <c r="M50" s="64" t="str">
        <f>IF($A50="","",IFERROR(ROUND(GETPIVOTDATA("売上（万円）",制御!$H$2,"商品",$A50,"年月",M$45),0),""))</f>
        <v/>
      </c>
      <c r="N50" s="64">
        <f>IF($A50="","",IFERROR(ROUND(GETPIVOTDATA("売上（万円）",制御!$H$2,"商品",$A50,"年月",N$45),0),""))</f>
        <v>18</v>
      </c>
      <c r="O50" s="64">
        <f>IF($A50="","",IFERROR(ROUND(GETPIVOTDATA("売上（万円）",制御!$H$2,"商品",$A50,"年月",O$45),0),""))</f>
        <v>15</v>
      </c>
      <c r="P50" s="64">
        <f>IF($A50="","",IFERROR(ROUND(GETPIVOTDATA("売上（万円）",制御!$H$2,"商品",$A50,"年月",P$45),0),""))</f>
        <v>16</v>
      </c>
      <c r="Q50" s="64">
        <f>IF($A50="","",IFERROR(ROUND(GETPIVOTDATA("売上（万円）",制御!$H$2,"商品",$A50,"年月",Q$45),0),""))</f>
        <v>17</v>
      </c>
      <c r="R50" s="64">
        <f>IF($A50="","",IFERROR(ROUND(GETPIVOTDATA("売上（万円）",制御!$H$2,"商品",$A50,"年月",R$45),0),""))</f>
        <v>18</v>
      </c>
      <c r="S50" s="64">
        <f>IF($A50="","",IFERROR(ROUND(GETPIVOTDATA("売上（万円）",制御!$H$2,"商品",$A50,"年月",S$45),0),""))</f>
        <v>19</v>
      </c>
      <c r="T50" s="64">
        <f>IF($A50="","",IFERROR(ROUND(GETPIVOTDATA("売上（万円）",制御!$H$2,"商品",$A50,"年月",T$45),0),""))</f>
        <v>16</v>
      </c>
      <c r="U50" s="64">
        <f>IF($A50="","",IFERROR(ROUND(GETPIVOTDATA("売上（万円）",制御!$H$2,"商品",$A50,"年月",U$45),0),""))</f>
        <v>17</v>
      </c>
      <c r="V50" s="64">
        <f>IF($A50="","",IFERROR(ROUND(GETPIVOTDATA("売上（万円）",制御!$H$2,"商品",$A50,"年月",V$45),0),""))</f>
        <v>18</v>
      </c>
      <c r="W50" s="64">
        <f>IF($A50="","",IFERROR(ROUND(GETPIVOTDATA("売上（万円）",制御!$H$2,"商品",$A50,"年月",W$45),0),""))</f>
        <v>15</v>
      </c>
      <c r="X50" s="64">
        <f>IF($A50="","",IFERROR(ROUND(GETPIVOTDATA("売上（万円）",制御!$H$2,"商品",$A50,"年月",X$45),0),""))</f>
        <v>16</v>
      </c>
      <c r="Y50" s="64">
        <f>IF($A50="","",IFERROR(ROUND(GETPIVOTDATA("売上（万円）",制御!$H$2,"商品",$A50,"年月",Y$45),0),""))</f>
        <v>17</v>
      </c>
      <c r="Z50" s="46"/>
    </row>
    <row r="51" spans="1:26" ht="20.100000000000001" customHeight="1">
      <c r="A51" s="63" t="str">
        <f>IF(ROW()-45&gt;COUNTA(商品マスタ!$B$5:$B$24),"",INDEX(商品マスタ!$B$5:$B$24,ROW()-45))</f>
        <v>トマト箱</v>
      </c>
      <c r="B51" s="64" t="str">
        <f>IF($A51="","",IFERROR(ROUND(GETPIVOTDATA("売上（万円）",制御!$H$2,"商品",$A51,"年月",B$45),0),""))</f>
        <v/>
      </c>
      <c r="C51" s="64" t="str">
        <f>IF($A51="","",IFERROR(ROUND(GETPIVOTDATA("売上（万円）",制御!$H$2,"商品",$A51,"年月",C$45),0),""))</f>
        <v/>
      </c>
      <c r="D51" s="64" t="str">
        <f>IF($A51="","",IFERROR(ROUND(GETPIVOTDATA("売上（万円）",制御!$H$2,"商品",$A51,"年月",D$45),0),""))</f>
        <v/>
      </c>
      <c r="E51" s="64" t="str">
        <f>IF($A51="","",IFERROR(ROUND(GETPIVOTDATA("売上（万円）",制御!$H$2,"商品",$A51,"年月",E$45),0),""))</f>
        <v/>
      </c>
      <c r="F51" s="64" t="str">
        <f>IF($A51="","",IFERROR(ROUND(GETPIVOTDATA("売上（万円）",制御!$H$2,"商品",$A51,"年月",F$45),0),""))</f>
        <v/>
      </c>
      <c r="G51" s="64" t="str">
        <f>IF($A51="","",IFERROR(ROUND(GETPIVOTDATA("売上（万円）",制御!$H$2,"商品",$A51,"年月",G$45),0),""))</f>
        <v/>
      </c>
      <c r="H51" s="64" t="str">
        <f>IF($A51="","",IFERROR(ROUND(GETPIVOTDATA("売上（万円）",制御!$H$2,"商品",$A51,"年月",H$45),0),""))</f>
        <v/>
      </c>
      <c r="I51" s="64" t="str">
        <f>IF($A51="","",IFERROR(ROUND(GETPIVOTDATA("売上（万円）",制御!$H$2,"商品",$A51,"年月",I$45),0),""))</f>
        <v/>
      </c>
      <c r="J51" s="64" t="str">
        <f>IF($A51="","",IFERROR(ROUND(GETPIVOTDATA("売上（万円）",制御!$H$2,"商品",$A51,"年月",J$45),0),""))</f>
        <v/>
      </c>
      <c r="K51" s="64" t="str">
        <f>IF($A51="","",IFERROR(ROUND(GETPIVOTDATA("売上（万円）",制御!$H$2,"商品",$A51,"年月",K$45),0),""))</f>
        <v/>
      </c>
      <c r="L51" s="64" t="str">
        <f>IF($A51="","",IFERROR(ROUND(GETPIVOTDATA("売上（万円）",制御!$H$2,"商品",$A51,"年月",L$45),0),""))</f>
        <v/>
      </c>
      <c r="M51" s="64" t="str">
        <f>IF($A51="","",IFERROR(ROUND(GETPIVOTDATA("売上（万円）",制御!$H$2,"商品",$A51,"年月",M$45),0),""))</f>
        <v/>
      </c>
      <c r="N51" s="64">
        <f>IF($A51="","",IFERROR(ROUND(GETPIVOTDATA("売上（万円）",制御!$H$2,"商品",$A51,"年月",N$45),0),""))</f>
        <v>15</v>
      </c>
      <c r="O51" s="64">
        <f>IF($A51="","",IFERROR(ROUND(GETPIVOTDATA("売上（万円）",制御!$H$2,"商品",$A51,"年月",O$45),0),""))</f>
        <v>15</v>
      </c>
      <c r="P51" s="64">
        <f>IF($A51="","",IFERROR(ROUND(GETPIVOTDATA("売上（万円）",制御!$H$2,"商品",$A51,"年月",P$45),0),""))</f>
        <v>16</v>
      </c>
      <c r="Q51" s="64">
        <f>IF($A51="","",IFERROR(ROUND(GETPIVOTDATA("売上（万円）",制御!$H$2,"商品",$A51,"年月",Q$45),0),""))</f>
        <v>14</v>
      </c>
      <c r="R51" s="64">
        <f>IF($A51="","",IFERROR(ROUND(GETPIVOTDATA("売上（万円）",制御!$H$2,"商品",$A51,"年月",R$45),0),""))</f>
        <v>15</v>
      </c>
      <c r="S51" s="64">
        <f>IF($A51="","",IFERROR(ROUND(GETPIVOTDATA("売上（万円）",制御!$H$2,"商品",$A51,"年月",S$45),0),""))</f>
        <v>15</v>
      </c>
      <c r="T51" s="64">
        <f>IF($A51="","",IFERROR(ROUND(GETPIVOTDATA("売上（万円）",制御!$H$2,"商品",$A51,"年月",T$45),0),""))</f>
        <v>16</v>
      </c>
      <c r="U51" s="64">
        <f>IF($A51="","",IFERROR(ROUND(GETPIVOTDATA("売上（万円）",制御!$H$2,"商品",$A51,"年月",U$45),0),""))</f>
        <v>17</v>
      </c>
      <c r="V51" s="64">
        <f>IF($A51="","",IFERROR(ROUND(GETPIVOTDATA("売上（万円）",制御!$H$2,"商品",$A51,"年月",V$45),0),""))</f>
        <v>14</v>
      </c>
      <c r="W51" s="64">
        <f>IF($A51="","",IFERROR(ROUND(GETPIVOTDATA("売上（万円）",制御!$H$2,"商品",$A51,"年月",W$45),0),""))</f>
        <v>15</v>
      </c>
      <c r="X51" s="64">
        <f>IF($A51="","",IFERROR(ROUND(GETPIVOTDATA("売上（万円）",制御!$H$2,"商品",$A51,"年月",X$45),0),""))</f>
        <v>16</v>
      </c>
      <c r="Y51" s="64">
        <f>IF($A51="","",IFERROR(ROUND(GETPIVOTDATA("売上（万円）",制御!$H$2,"商品",$A51,"年月",Y$45),0),""))</f>
        <v>14</v>
      </c>
      <c r="Z51" s="46"/>
    </row>
    <row r="52" spans="1:26" ht="20.100000000000001" customHeight="1">
      <c r="A52" s="63" t="str">
        <f>IF(ROW()-45&gt;COUNTA(商品マスタ!$B$5:$B$24),"",INDEX(商品マスタ!$B$5:$B$24,ROW()-45))</f>
        <v>米5kg</v>
      </c>
      <c r="B52" s="64" t="str">
        <f>IF($A52="","",IFERROR(ROUND(GETPIVOTDATA("売上（万円）",制御!$H$2,"商品",$A52,"年月",B$45),0),""))</f>
        <v/>
      </c>
      <c r="C52" s="64" t="str">
        <f>IF($A52="","",IFERROR(ROUND(GETPIVOTDATA("売上（万円）",制御!$H$2,"商品",$A52,"年月",C$45),0),""))</f>
        <v/>
      </c>
      <c r="D52" s="64" t="str">
        <f>IF($A52="","",IFERROR(ROUND(GETPIVOTDATA("売上（万円）",制御!$H$2,"商品",$A52,"年月",D$45),0),""))</f>
        <v/>
      </c>
      <c r="E52" s="64" t="str">
        <f>IF($A52="","",IFERROR(ROUND(GETPIVOTDATA("売上（万円）",制御!$H$2,"商品",$A52,"年月",E$45),0),""))</f>
        <v/>
      </c>
      <c r="F52" s="64" t="str">
        <f>IF($A52="","",IFERROR(ROUND(GETPIVOTDATA("売上（万円）",制御!$H$2,"商品",$A52,"年月",F$45),0),""))</f>
        <v/>
      </c>
      <c r="G52" s="64" t="str">
        <f>IF($A52="","",IFERROR(ROUND(GETPIVOTDATA("売上（万円）",制御!$H$2,"商品",$A52,"年月",G$45),0),""))</f>
        <v/>
      </c>
      <c r="H52" s="64" t="str">
        <f>IF($A52="","",IFERROR(ROUND(GETPIVOTDATA("売上（万円）",制御!$H$2,"商品",$A52,"年月",H$45),0),""))</f>
        <v/>
      </c>
      <c r="I52" s="64" t="str">
        <f>IF($A52="","",IFERROR(ROUND(GETPIVOTDATA("売上（万円）",制御!$H$2,"商品",$A52,"年月",I$45),0),""))</f>
        <v/>
      </c>
      <c r="J52" s="64" t="str">
        <f>IF($A52="","",IFERROR(ROUND(GETPIVOTDATA("売上（万円）",制御!$H$2,"商品",$A52,"年月",J$45),0),""))</f>
        <v/>
      </c>
      <c r="K52" s="64" t="str">
        <f>IF($A52="","",IFERROR(ROUND(GETPIVOTDATA("売上（万円）",制御!$H$2,"商品",$A52,"年月",K$45),0),""))</f>
        <v/>
      </c>
      <c r="L52" s="64" t="str">
        <f>IF($A52="","",IFERROR(ROUND(GETPIVOTDATA("売上（万円）",制御!$H$2,"商品",$A52,"年月",L$45),0),""))</f>
        <v/>
      </c>
      <c r="M52" s="64" t="str">
        <f>IF($A52="","",IFERROR(ROUND(GETPIVOTDATA("売上（万円）",制御!$H$2,"商品",$A52,"年月",M$45),0),""))</f>
        <v/>
      </c>
      <c r="N52" s="64">
        <f>IF($A52="","",IFERROR(ROUND(GETPIVOTDATA("売上（万円）",制御!$H$2,"商品",$A52,"年月",N$45),0),""))</f>
        <v>29</v>
      </c>
      <c r="O52" s="64">
        <f>IF($A52="","",IFERROR(ROUND(GETPIVOTDATA("売上（万円）",制御!$H$2,"商品",$A52,"年月",O$45),0),""))</f>
        <v>25</v>
      </c>
      <c r="P52" s="64">
        <f>IF($A52="","",IFERROR(ROUND(GETPIVOTDATA("売上（万円）",制御!$H$2,"商品",$A52,"年月",P$45),0),""))</f>
        <v>26</v>
      </c>
      <c r="Q52" s="64">
        <f>IF($A52="","",IFERROR(ROUND(GETPIVOTDATA("売上（万円）",制御!$H$2,"商品",$A52,"年月",Q$45),0),""))</f>
        <v>28</v>
      </c>
      <c r="R52" s="64">
        <f>IF($A52="","",IFERROR(ROUND(GETPIVOTDATA("売上（万円）",制御!$H$2,"商品",$A52,"年月",R$45),0),""))</f>
        <v>29</v>
      </c>
      <c r="S52" s="64">
        <f>IF($A52="","",IFERROR(ROUND(GETPIVOTDATA("売上（万円）",制御!$H$2,"商品",$A52,"年月",S$45),0),""))</f>
        <v>25</v>
      </c>
      <c r="T52" s="64">
        <f>IF($A52="","",IFERROR(ROUND(GETPIVOTDATA("売上（万円）",制御!$H$2,"商品",$A52,"年月",T$45),0),""))</f>
        <v>26</v>
      </c>
      <c r="U52" s="64">
        <f>IF($A52="","",IFERROR(ROUND(GETPIVOTDATA("売上（万円）",制御!$H$2,"商品",$A52,"年月",U$45),0),""))</f>
        <v>27</v>
      </c>
      <c r="V52" s="64">
        <f>IF($A52="","",IFERROR(ROUND(GETPIVOTDATA("売上（万円）",制御!$H$2,"商品",$A52,"年月",V$45),0),""))</f>
        <v>28</v>
      </c>
      <c r="W52" s="64">
        <f>IF($A52="","",IFERROR(ROUND(GETPIVOTDATA("売上（万円）",制御!$H$2,"商品",$A52,"年月",W$45),0),""))</f>
        <v>30</v>
      </c>
      <c r="X52" s="64">
        <f>IF($A52="","",IFERROR(ROUND(GETPIVOTDATA("売上（万円）",制御!$H$2,"商品",$A52,"年月",X$45),0),""))</f>
        <v>26</v>
      </c>
      <c r="Y52" s="64">
        <f>IF($A52="","",IFERROR(ROUND(GETPIVOTDATA("売上（万円）",制御!$H$2,"商品",$A52,"年月",Y$45),0),""))</f>
        <v>27</v>
      </c>
      <c r="Z52" s="46"/>
    </row>
    <row r="53" spans="1:26" ht="20.100000000000001" customHeight="1">
      <c r="A53" s="63" t="str">
        <f>IF(ROW()-45&gt;COUNTA(商品マスタ!$B$5:$B$24),"",INDEX(商品マスタ!$B$5:$B$24,ROW()-45))</f>
        <v>季節の果物</v>
      </c>
      <c r="B53" s="64" t="str">
        <f>IF($A53="","",IFERROR(ROUND(GETPIVOTDATA("売上（万円）",制御!$H$2,"商品",$A53,"年月",B$45),0),""))</f>
        <v/>
      </c>
      <c r="C53" s="64" t="str">
        <f>IF($A53="","",IFERROR(ROUND(GETPIVOTDATA("売上（万円）",制御!$H$2,"商品",$A53,"年月",C$45),0),""))</f>
        <v/>
      </c>
      <c r="D53" s="64" t="str">
        <f>IF($A53="","",IFERROR(ROUND(GETPIVOTDATA("売上（万円）",制御!$H$2,"商品",$A53,"年月",D$45),0),""))</f>
        <v/>
      </c>
      <c r="E53" s="64" t="str">
        <f>IF($A53="","",IFERROR(ROUND(GETPIVOTDATA("売上（万円）",制御!$H$2,"商品",$A53,"年月",E$45),0),""))</f>
        <v/>
      </c>
      <c r="F53" s="64" t="str">
        <f>IF($A53="","",IFERROR(ROUND(GETPIVOTDATA("売上（万円）",制御!$H$2,"商品",$A53,"年月",F$45),0),""))</f>
        <v/>
      </c>
      <c r="G53" s="64" t="str">
        <f>IF($A53="","",IFERROR(ROUND(GETPIVOTDATA("売上（万円）",制御!$H$2,"商品",$A53,"年月",G$45),0),""))</f>
        <v/>
      </c>
      <c r="H53" s="64" t="str">
        <f>IF($A53="","",IFERROR(ROUND(GETPIVOTDATA("売上（万円）",制御!$H$2,"商品",$A53,"年月",H$45),0),""))</f>
        <v/>
      </c>
      <c r="I53" s="64" t="str">
        <f>IF($A53="","",IFERROR(ROUND(GETPIVOTDATA("売上（万円）",制御!$H$2,"商品",$A53,"年月",I$45),0),""))</f>
        <v/>
      </c>
      <c r="J53" s="64" t="str">
        <f>IF($A53="","",IFERROR(ROUND(GETPIVOTDATA("売上（万円）",制御!$H$2,"商品",$A53,"年月",J$45),0),""))</f>
        <v/>
      </c>
      <c r="K53" s="64" t="str">
        <f>IF($A53="","",IFERROR(ROUND(GETPIVOTDATA("売上（万円）",制御!$H$2,"商品",$A53,"年月",K$45),0),""))</f>
        <v/>
      </c>
      <c r="L53" s="64" t="str">
        <f>IF($A53="","",IFERROR(ROUND(GETPIVOTDATA("売上（万円）",制御!$H$2,"商品",$A53,"年月",L$45),0),""))</f>
        <v/>
      </c>
      <c r="M53" s="64" t="str">
        <f>IF($A53="","",IFERROR(ROUND(GETPIVOTDATA("売上（万円）",制御!$H$2,"商品",$A53,"年月",M$45),0),""))</f>
        <v/>
      </c>
      <c r="N53" s="64">
        <f>IF($A53="","",IFERROR(ROUND(GETPIVOTDATA("売上（万円）",制御!$H$2,"商品",$A53,"年月",N$45),0),""))</f>
        <v>33</v>
      </c>
      <c r="O53" s="64">
        <f>IF($A53="","",IFERROR(ROUND(GETPIVOTDATA("売上（万円）",制御!$H$2,"商品",$A53,"年月",O$45),0),""))</f>
        <v>35</v>
      </c>
      <c r="P53" s="64">
        <f>IF($A53="","",IFERROR(ROUND(GETPIVOTDATA("売上（万円）",制御!$H$2,"商品",$A53,"年月",P$45),0),""))</f>
        <v>36</v>
      </c>
      <c r="Q53" s="64">
        <f>IF($A53="","",IFERROR(ROUND(GETPIVOTDATA("売上（万円）",制御!$H$2,"商品",$A53,"年月",Q$45),0),""))</f>
        <v>31</v>
      </c>
      <c r="R53" s="64">
        <f>IF($A53="","",IFERROR(ROUND(GETPIVOTDATA("売上（万円）",制御!$H$2,"商品",$A53,"年月",R$45),0),""))</f>
        <v>33</v>
      </c>
      <c r="S53" s="64">
        <f>IF($A53="","",IFERROR(ROUND(GETPIVOTDATA("売上（万円）",制御!$H$2,"商品",$A53,"年月",S$45),0),""))</f>
        <v>34</v>
      </c>
      <c r="T53" s="64">
        <f>IF($A53="","",IFERROR(ROUND(GETPIVOTDATA("売上（万円）",制御!$H$2,"商品",$A53,"年月",T$45),0),""))</f>
        <v>36</v>
      </c>
      <c r="U53" s="64">
        <f>IF($A53="","",IFERROR(ROUND(GETPIVOTDATA("売上（万円）",制御!$H$2,"商品",$A53,"年月",U$45),0),""))</f>
        <v>31</v>
      </c>
      <c r="V53" s="64">
        <f>IF($A53="","",IFERROR(ROUND(GETPIVOTDATA("売上（万円）",制御!$H$2,"商品",$A53,"年月",V$45),0),""))</f>
        <v>32</v>
      </c>
      <c r="W53" s="64">
        <f>IF($A53="","",IFERROR(ROUND(GETPIVOTDATA("売上（万円）",制御!$H$2,"商品",$A53,"年月",W$45),0),""))</f>
        <v>34</v>
      </c>
      <c r="X53" s="64">
        <f>IF($A53="","",IFERROR(ROUND(GETPIVOTDATA("売上（万円）",制御!$H$2,"商品",$A53,"年月",X$45),0),""))</f>
        <v>36</v>
      </c>
      <c r="Y53" s="64">
        <f>IF($A53="","",IFERROR(ROUND(GETPIVOTDATA("売上（万円）",制御!$H$2,"商品",$A53,"年月",Y$45),0),""))</f>
        <v>37</v>
      </c>
      <c r="Z53" s="46"/>
    </row>
    <row r="54" spans="1:26" ht="24.9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32.1" customHeight="1">
      <c r="A55" s="59" t="s">
        <v>306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8" customHeight="1">
      <c r="A57" s="65" t="s">
        <v>307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8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</sheetData>
  <mergeCells count="14">
    <mergeCell ref="J8:L8"/>
    <mergeCell ref="J9:L9"/>
    <mergeCell ref="A11:L11"/>
    <mergeCell ref="A55:L55"/>
    <mergeCell ref="A57:L58"/>
    <mergeCell ref="A9:C9"/>
    <mergeCell ref="D8:F8"/>
    <mergeCell ref="D9:F9"/>
    <mergeCell ref="G8:I8"/>
    <mergeCell ref="G9:I9"/>
    <mergeCell ref="B2:F2"/>
    <mergeCell ref="A3:L3"/>
    <mergeCell ref="A6:L6"/>
    <mergeCell ref="A8:C8"/>
  </mergeCells>
  <phoneticPr fontId="13"/>
  <conditionalFormatting sqref="B46:Y53">
    <cfRule type="colorScale" priority="1">
      <colorScale>
        <cfvo type="min"/>
        <cfvo type="percentile" val="50"/>
        <cfvo type="max"/>
        <color rgb="FFDDEFE3"/>
        <color rgb="FF7FC7B2"/>
        <color rgb="FF1F7A66"/>
      </colorScale>
    </cfRule>
    <cfRule type="expression" dxfId="0" priority="2" stopIfTrue="1">
      <formula>B46=""</formula>
    </cfRule>
  </conditionalFormatting>
  <pageMargins left="0.7" right="0.7" top="0.75" bottom="0.75" header="0.3" footer="0.3"/>
  <pageSetup paperSize="9" orientation="landscape" horizontalDpi="4294967293" verticalDpi="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xr2:uid="{B6922B03-9F6A-4008-97B8-93AEF1BEBD1C}">
          <x14:colorSeries rgb="FF2E9E8F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売上分析!B53:Y53</xm:f>
              <xm:sqref>Z53</xm:sqref>
            </x14:sparkline>
          </x14:sparklines>
        </x14:sparklineGroup>
        <x14:sparklineGroup lineWeight="1.5" displayEmptyCellsAs="gap" xr2:uid="{97FEDAF8-07A2-4D5F-8900-EEC694660DA9}">
          <x14:colorSeries rgb="FF2E9E8F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売上分析!B52:Y52</xm:f>
              <xm:sqref>Z52</xm:sqref>
            </x14:sparkline>
          </x14:sparklines>
        </x14:sparklineGroup>
        <x14:sparklineGroup lineWeight="1.5" displayEmptyCellsAs="gap" xr2:uid="{9A8EA938-5D8A-492F-B45E-D30104C6E58F}">
          <x14:colorSeries rgb="FF2E9E8F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売上分析!B51:Y51</xm:f>
              <xm:sqref>Z51</xm:sqref>
            </x14:sparkline>
          </x14:sparklines>
        </x14:sparklineGroup>
        <x14:sparklineGroup lineWeight="1.5" displayEmptyCellsAs="gap" xr2:uid="{D4984F05-F0A4-423C-AFB5-0DB35CD1F316}">
          <x14:colorSeries rgb="FF2E9E8F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売上分析!B50:Y50</xm:f>
              <xm:sqref>Z50</xm:sqref>
            </x14:sparkline>
          </x14:sparklines>
        </x14:sparklineGroup>
        <x14:sparklineGroup lineWeight="1.5" displayEmptyCellsAs="gap" xr2:uid="{6C357691-05B6-494D-8D4B-3C836C39F2BD}">
          <x14:colorSeries rgb="FF2E9E8F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売上分析!B49:Y49</xm:f>
              <xm:sqref>Z49</xm:sqref>
            </x14:sparkline>
          </x14:sparklines>
        </x14:sparklineGroup>
        <x14:sparklineGroup lineWeight="1.5" displayEmptyCellsAs="gap" xr2:uid="{BDA832B8-D1C8-4871-9DC1-8974F3919A7E}">
          <x14:colorSeries rgb="FF2E9E8F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売上分析!B48:Y48</xm:f>
              <xm:sqref>Z48</xm:sqref>
            </x14:sparkline>
          </x14:sparklines>
        </x14:sparklineGroup>
        <x14:sparklineGroup lineWeight="1.5" displayEmptyCellsAs="gap" xr2:uid="{61364BF5-8D25-4125-886E-7300EEF0AD51}">
          <x14:colorSeries rgb="FF2E9E8F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売上分析!B47:Y47</xm:f>
              <xm:sqref>Z47</xm:sqref>
            </x14:sparkline>
          </x14:sparklines>
        </x14:sparklineGroup>
        <x14:sparklineGroup lineWeight="1.5" displayEmptyCellsAs="gap" xr2:uid="{DFDC7B68-1480-410B-B141-B5F8028CDF1F}">
          <x14:colorSeries rgb="FF2E9E8F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売上分析!B46:Y46</xm:f>
              <xm:sqref>Z46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E8AB-E082-4787-B106-4EDD51BDC9A4}">
  <sheetPr>
    <tabColor rgb="FFDDEFE3"/>
  </sheetPr>
  <dimension ref="A2:E16"/>
  <sheetViews>
    <sheetView workbookViewId="0"/>
  </sheetViews>
  <sheetFormatPr defaultRowHeight="15"/>
  <cols>
    <col min="1" max="1" width="10.625" customWidth="1"/>
    <col min="2" max="2" width="18.625" customWidth="1"/>
    <col min="3" max="3" width="12.625" customWidth="1"/>
    <col min="4" max="4" width="10.625" customWidth="1"/>
    <col min="5" max="5" width="8.625" customWidth="1"/>
  </cols>
  <sheetData>
    <row r="2" spans="1:5" ht="27.95" customHeight="1">
      <c r="A2" s="37" t="s">
        <v>250</v>
      </c>
    </row>
    <row r="3" spans="1:5" ht="30" customHeight="1">
      <c r="A3" s="39" t="s">
        <v>251</v>
      </c>
    </row>
    <row r="4" spans="1:5">
      <c r="A4" s="40" t="s">
        <v>252</v>
      </c>
      <c r="B4" s="40" t="s">
        <v>253</v>
      </c>
      <c r="C4" s="40" t="s">
        <v>126</v>
      </c>
      <c r="D4" s="40" t="s">
        <v>254</v>
      </c>
      <c r="E4" s="40" t="s">
        <v>255</v>
      </c>
    </row>
    <row r="5" spans="1:5">
      <c r="A5" t="s">
        <v>256</v>
      </c>
      <c r="B5" t="s">
        <v>56</v>
      </c>
      <c r="C5" t="s">
        <v>2</v>
      </c>
      <c r="D5" s="41">
        <v>1</v>
      </c>
      <c r="E5" s="41" t="b">
        <v>1</v>
      </c>
    </row>
    <row r="6" spans="1:5">
      <c r="A6" t="s">
        <v>257</v>
      </c>
      <c r="B6" t="s">
        <v>60</v>
      </c>
      <c r="C6" t="s">
        <v>2</v>
      </c>
      <c r="D6" s="41">
        <v>2</v>
      </c>
      <c r="E6" s="41" t="b">
        <v>1</v>
      </c>
    </row>
    <row r="7" spans="1:5">
      <c r="A7" t="s">
        <v>258</v>
      </c>
      <c r="B7" t="s">
        <v>231</v>
      </c>
      <c r="C7" t="s">
        <v>2</v>
      </c>
      <c r="D7" s="41">
        <v>3</v>
      </c>
      <c r="E7" s="41" t="b">
        <v>1</v>
      </c>
    </row>
    <row r="8" spans="1:5">
      <c r="A8" t="s">
        <v>259</v>
      </c>
      <c r="B8" t="s">
        <v>232</v>
      </c>
      <c r="C8" t="s">
        <v>2</v>
      </c>
      <c r="D8" s="41">
        <v>4</v>
      </c>
      <c r="E8" s="41" t="b">
        <v>1</v>
      </c>
    </row>
    <row r="9" spans="1:5">
      <c r="A9" t="s">
        <v>260</v>
      </c>
      <c r="B9" t="s">
        <v>148</v>
      </c>
      <c r="C9" t="s">
        <v>128</v>
      </c>
      <c r="D9" s="41">
        <v>5</v>
      </c>
      <c r="E9" s="41" t="b">
        <v>1</v>
      </c>
    </row>
    <row r="10" spans="1:5">
      <c r="A10" t="s">
        <v>261</v>
      </c>
      <c r="B10" t="s">
        <v>233</v>
      </c>
      <c r="C10" t="s">
        <v>128</v>
      </c>
      <c r="D10" s="41">
        <v>6</v>
      </c>
      <c r="E10" s="41" t="b">
        <v>1</v>
      </c>
    </row>
    <row r="11" spans="1:5">
      <c r="A11" t="s">
        <v>262</v>
      </c>
      <c r="B11" t="s">
        <v>234</v>
      </c>
      <c r="C11" t="s">
        <v>128</v>
      </c>
      <c r="D11" s="41">
        <v>7</v>
      </c>
      <c r="E11" s="41" t="b">
        <v>1</v>
      </c>
    </row>
    <row r="12" spans="1:5">
      <c r="A12" t="s">
        <v>263</v>
      </c>
      <c r="B12" t="s">
        <v>235</v>
      </c>
      <c r="C12" t="s">
        <v>128</v>
      </c>
      <c r="D12" s="41">
        <v>8</v>
      </c>
      <c r="E12" s="41" t="b">
        <v>1</v>
      </c>
    </row>
    <row r="14" spans="1:5">
      <c r="A14" s="42" t="s">
        <v>264</v>
      </c>
      <c r="B14" s="42"/>
      <c r="C14" s="42"/>
      <c r="D14" s="42"/>
      <c r="E14" s="42"/>
    </row>
    <row r="15" spans="1:5">
      <c r="A15" s="42"/>
      <c r="B15" s="42"/>
      <c r="C15" s="42"/>
      <c r="D15" s="42"/>
      <c r="E15" s="42"/>
    </row>
    <row r="16" spans="1:5">
      <c r="A16" s="42"/>
      <c r="B16" s="42"/>
      <c r="C16" s="42"/>
      <c r="D16" s="42"/>
      <c r="E16" s="42"/>
    </row>
  </sheetData>
  <mergeCells count="1">
    <mergeCell ref="A14:E16"/>
  </mergeCells>
  <phoneticPr fontId="13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69F0-ECDB-40FA-81E3-16EE2D754C0C}">
  <sheetPr>
    <tabColor rgb="FF757575"/>
  </sheetPr>
  <dimension ref="A1:T66"/>
  <sheetViews>
    <sheetView workbookViewId="0"/>
  </sheetViews>
  <sheetFormatPr defaultRowHeight="15"/>
  <cols>
    <col min="1" max="1" width="7.75" bestFit="1" customWidth="1"/>
    <col min="2" max="3" width="14.75" bestFit="1" customWidth="1"/>
    <col min="4" max="7" width="14.625" customWidth="1"/>
    <col min="8" max="8" width="14.75" bestFit="1" customWidth="1"/>
    <col min="9" max="32" width="8.5" bestFit="1" customWidth="1"/>
    <col min="33" max="33" width="9.625" customWidth="1"/>
  </cols>
  <sheetData>
    <row r="1" spans="1:20">
      <c r="A1" s="38" t="s">
        <v>265</v>
      </c>
    </row>
    <row r="2" spans="1:20">
      <c r="A2" s="43" t="s">
        <v>126</v>
      </c>
      <c r="B2" t="s">
        <v>266</v>
      </c>
      <c r="H2" s="43" t="s">
        <v>266</v>
      </c>
      <c r="I2" s="43" t="s">
        <v>245</v>
      </c>
    </row>
    <row r="3" spans="1:20">
      <c r="A3" t="s">
        <v>128</v>
      </c>
      <c r="B3" s="45">
        <v>1116.52</v>
      </c>
      <c r="H3" s="43" t="s">
        <v>237</v>
      </c>
      <c r="I3" t="s">
        <v>279</v>
      </c>
      <c r="J3" t="s">
        <v>280</v>
      </c>
      <c r="K3" t="s">
        <v>281</v>
      </c>
      <c r="L3" t="s">
        <v>282</v>
      </c>
      <c r="M3" t="s">
        <v>283</v>
      </c>
      <c r="N3" t="s">
        <v>284</v>
      </c>
      <c r="O3" t="s">
        <v>285</v>
      </c>
      <c r="P3" t="s">
        <v>286</v>
      </c>
      <c r="Q3" t="s">
        <v>287</v>
      </c>
      <c r="R3" t="s">
        <v>288</v>
      </c>
      <c r="S3" t="s">
        <v>289</v>
      </c>
      <c r="T3" t="s">
        <v>290</v>
      </c>
    </row>
    <row r="4" spans="1:20">
      <c r="A4" t="s">
        <v>2</v>
      </c>
      <c r="B4" s="45">
        <v>3632.75</v>
      </c>
      <c r="H4" t="s">
        <v>56</v>
      </c>
      <c r="I4" s="45">
        <v>170</v>
      </c>
      <c r="J4" s="45">
        <v>105</v>
      </c>
      <c r="K4" s="45">
        <v>125</v>
      </c>
      <c r="L4" s="45">
        <v>145</v>
      </c>
      <c r="M4" s="45">
        <v>165</v>
      </c>
      <c r="N4" s="45">
        <v>185</v>
      </c>
      <c r="O4" s="45">
        <v>120</v>
      </c>
      <c r="P4" s="45">
        <v>140</v>
      </c>
      <c r="Q4" s="45">
        <v>160</v>
      </c>
      <c r="R4" s="45">
        <v>180</v>
      </c>
      <c r="S4" s="45">
        <v>115</v>
      </c>
      <c r="T4" s="45">
        <v>135</v>
      </c>
    </row>
    <row r="5" spans="1:20">
      <c r="H5" t="s">
        <v>233</v>
      </c>
      <c r="I5" s="45">
        <v>14.76</v>
      </c>
      <c r="J5" s="45">
        <v>15.48</v>
      </c>
      <c r="K5" s="45">
        <v>16.2</v>
      </c>
      <c r="L5" s="45">
        <v>13.86</v>
      </c>
      <c r="M5" s="45">
        <v>14.58</v>
      </c>
      <c r="N5" s="45">
        <v>15.3</v>
      </c>
      <c r="O5" s="45">
        <v>16.02</v>
      </c>
      <c r="P5" s="45">
        <v>16.739999999999998</v>
      </c>
      <c r="Q5" s="45">
        <v>14.4</v>
      </c>
      <c r="R5" s="45">
        <v>15.12</v>
      </c>
      <c r="S5" s="45">
        <v>15.84</v>
      </c>
      <c r="T5" s="45">
        <v>13.5</v>
      </c>
    </row>
    <row r="6" spans="1:20">
      <c r="H6" t="s">
        <v>60</v>
      </c>
      <c r="I6" s="45">
        <v>39</v>
      </c>
      <c r="J6" s="45">
        <v>45</v>
      </c>
      <c r="K6" s="45">
        <v>51</v>
      </c>
      <c r="L6" s="45">
        <v>31.5</v>
      </c>
      <c r="M6" s="45">
        <v>37.5</v>
      </c>
      <c r="N6" s="45">
        <v>43.5</v>
      </c>
      <c r="O6" s="45">
        <v>49.5</v>
      </c>
      <c r="P6" s="45">
        <v>55.5</v>
      </c>
      <c r="Q6" s="45">
        <v>36</v>
      </c>
      <c r="R6" s="45">
        <v>42</v>
      </c>
      <c r="S6" s="45">
        <v>48</v>
      </c>
      <c r="T6" s="45">
        <v>54</v>
      </c>
    </row>
    <row r="7" spans="1:20">
      <c r="H7" t="s">
        <v>235</v>
      </c>
      <c r="I7" s="45">
        <v>33.200000000000003</v>
      </c>
      <c r="J7" s="45">
        <v>34.799999999999997</v>
      </c>
      <c r="K7" s="45">
        <v>36.4</v>
      </c>
      <c r="L7" s="45">
        <v>31.2</v>
      </c>
      <c r="M7" s="45">
        <v>32.799999999999997</v>
      </c>
      <c r="N7" s="45">
        <v>34.4</v>
      </c>
      <c r="O7" s="45">
        <v>36</v>
      </c>
      <c r="P7" s="45">
        <v>30.8</v>
      </c>
      <c r="Q7" s="45">
        <v>32.4</v>
      </c>
      <c r="R7" s="45">
        <v>34</v>
      </c>
      <c r="S7" s="45">
        <v>35.6</v>
      </c>
      <c r="T7" s="45">
        <v>37.200000000000003</v>
      </c>
    </row>
    <row r="8" spans="1:20">
      <c r="H8" t="s">
        <v>231</v>
      </c>
      <c r="I8" s="45">
        <v>122.5</v>
      </c>
      <c r="J8" s="45">
        <v>136.5</v>
      </c>
      <c r="K8" s="45">
        <v>91</v>
      </c>
      <c r="L8" s="45">
        <v>105</v>
      </c>
      <c r="M8" s="45">
        <v>119</v>
      </c>
      <c r="N8" s="45">
        <v>73.5</v>
      </c>
      <c r="O8" s="45">
        <v>87.5</v>
      </c>
      <c r="P8" s="45">
        <v>101.5</v>
      </c>
      <c r="Q8" s="45">
        <v>115.5</v>
      </c>
      <c r="R8" s="45">
        <v>129.5</v>
      </c>
      <c r="S8" s="45">
        <v>84</v>
      </c>
      <c r="T8" s="45">
        <v>98</v>
      </c>
    </row>
    <row r="9" spans="1:20">
      <c r="H9" t="s">
        <v>234</v>
      </c>
      <c r="I9" s="45">
        <v>29.12</v>
      </c>
      <c r="J9" s="45">
        <v>24.96</v>
      </c>
      <c r="K9" s="45">
        <v>26.24</v>
      </c>
      <c r="L9" s="45">
        <v>27.52</v>
      </c>
      <c r="M9" s="45">
        <v>28.8</v>
      </c>
      <c r="N9" s="45">
        <v>24.64</v>
      </c>
      <c r="O9" s="45">
        <v>25.92</v>
      </c>
      <c r="P9" s="45">
        <v>27.2</v>
      </c>
      <c r="Q9" s="45">
        <v>28.48</v>
      </c>
      <c r="R9" s="45">
        <v>29.76</v>
      </c>
      <c r="S9" s="45">
        <v>25.6</v>
      </c>
      <c r="T9" s="45">
        <v>26.88</v>
      </c>
    </row>
    <row r="10" spans="1:20">
      <c r="H10" t="s">
        <v>232</v>
      </c>
      <c r="I10" s="45">
        <v>6.75</v>
      </c>
      <c r="J10" s="45">
        <v>7.75</v>
      </c>
      <c r="K10" s="45">
        <v>8.75</v>
      </c>
      <c r="L10" s="45">
        <v>9.75</v>
      </c>
      <c r="M10" s="45">
        <v>6.5</v>
      </c>
      <c r="N10" s="45">
        <v>7.5</v>
      </c>
      <c r="O10" s="45">
        <v>8.5</v>
      </c>
      <c r="P10" s="45">
        <v>5.25</v>
      </c>
      <c r="Q10" s="45">
        <v>6.25</v>
      </c>
      <c r="R10" s="45">
        <v>7.25</v>
      </c>
      <c r="S10" s="45">
        <v>8.25</v>
      </c>
      <c r="T10" s="45">
        <v>9.25</v>
      </c>
    </row>
    <row r="11" spans="1:20">
      <c r="H11" t="s">
        <v>148</v>
      </c>
      <c r="I11" s="45">
        <v>18</v>
      </c>
      <c r="J11" s="45">
        <v>15.4</v>
      </c>
      <c r="K11" s="45">
        <v>16.2</v>
      </c>
      <c r="L11" s="45">
        <v>17</v>
      </c>
      <c r="M11" s="45">
        <v>17.8</v>
      </c>
      <c r="N11" s="45">
        <v>18.600000000000001</v>
      </c>
      <c r="O11" s="45">
        <v>16</v>
      </c>
      <c r="P11" s="45">
        <v>16.8</v>
      </c>
      <c r="Q11" s="45">
        <v>17.600000000000001</v>
      </c>
      <c r="R11" s="45">
        <v>15</v>
      </c>
      <c r="S11" s="45">
        <v>15.8</v>
      </c>
      <c r="T11" s="45">
        <v>16.600000000000001</v>
      </c>
    </row>
    <row r="12" spans="1:20">
      <c r="A12" s="43" t="s">
        <v>237</v>
      </c>
      <c r="B12" t="s">
        <v>266</v>
      </c>
    </row>
    <row r="13" spans="1:20">
      <c r="A13" t="s">
        <v>56</v>
      </c>
      <c r="B13" s="45">
        <v>1745</v>
      </c>
    </row>
    <row r="14" spans="1:20">
      <c r="A14" t="s">
        <v>231</v>
      </c>
      <c r="B14" s="45">
        <v>1263.5</v>
      </c>
      <c r="H14" t="s">
        <v>294</v>
      </c>
      <c r="I14" t="s">
        <v>295</v>
      </c>
    </row>
    <row r="15" spans="1:20">
      <c r="A15" t="s">
        <v>60</v>
      </c>
      <c r="B15" s="45">
        <v>532.5</v>
      </c>
      <c r="H15" s="44">
        <v>47492700</v>
      </c>
      <c r="I15" s="44">
        <v>18852426</v>
      </c>
    </row>
    <row r="16" spans="1:20">
      <c r="A16" t="s">
        <v>235</v>
      </c>
      <c r="B16" s="45">
        <v>408.8</v>
      </c>
    </row>
    <row r="17" spans="1:10">
      <c r="A17" t="s">
        <v>234</v>
      </c>
      <c r="B17" s="45">
        <v>325.12</v>
      </c>
    </row>
    <row r="18" spans="1:10">
      <c r="A18" t="s">
        <v>148</v>
      </c>
      <c r="B18" s="45">
        <v>200.8</v>
      </c>
    </row>
    <row r="19" spans="1:10">
      <c r="A19" t="s">
        <v>233</v>
      </c>
      <c r="B19" s="45">
        <v>181.8</v>
      </c>
    </row>
    <row r="20" spans="1:10">
      <c r="A20" t="s">
        <v>232</v>
      </c>
      <c r="B20" s="45">
        <v>91.75</v>
      </c>
      <c r="H20" s="43" t="s">
        <v>247</v>
      </c>
      <c r="I20" t="s">
        <v>266</v>
      </c>
    </row>
    <row r="21" spans="1:10">
      <c r="H21">
        <v>2025</v>
      </c>
      <c r="I21" s="45">
        <v>4802.7299999999996</v>
      </c>
    </row>
    <row r="22" spans="1:10">
      <c r="H22">
        <v>2026</v>
      </c>
      <c r="I22" s="45">
        <v>4749.2700000000004</v>
      </c>
    </row>
    <row r="26" spans="1:10">
      <c r="A26" s="43" t="s">
        <v>245</v>
      </c>
      <c r="B26" t="s">
        <v>266</v>
      </c>
      <c r="C26" t="s">
        <v>291</v>
      </c>
    </row>
    <row r="27" spans="1:10">
      <c r="A27" t="s">
        <v>279</v>
      </c>
      <c r="B27" s="45">
        <v>433.33</v>
      </c>
      <c r="C27" s="45">
        <v>176.4256</v>
      </c>
    </row>
    <row r="28" spans="1:10">
      <c r="A28" t="s">
        <v>280</v>
      </c>
      <c r="B28" s="45">
        <v>384.89</v>
      </c>
      <c r="C28" s="45">
        <v>131.0564</v>
      </c>
      <c r="H28" s="43" t="s">
        <v>266</v>
      </c>
      <c r="I28" s="43" t="s">
        <v>247</v>
      </c>
    </row>
    <row r="29" spans="1:10">
      <c r="A29" t="s">
        <v>281</v>
      </c>
      <c r="B29" s="45">
        <v>370.79</v>
      </c>
      <c r="C29" s="45">
        <v>146.38820000000001</v>
      </c>
      <c r="H29" s="43" t="s">
        <v>236</v>
      </c>
      <c r="I29">
        <v>2025</v>
      </c>
      <c r="J29">
        <v>2026</v>
      </c>
    </row>
    <row r="30" spans="1:10">
      <c r="A30" t="s">
        <v>282</v>
      </c>
      <c r="B30" s="45">
        <v>380.83</v>
      </c>
      <c r="C30" s="45">
        <v>147.50319999999999</v>
      </c>
      <c r="H30">
        <v>1</v>
      </c>
      <c r="I30" s="45">
        <v>399.28</v>
      </c>
      <c r="J30" s="45">
        <v>433.33</v>
      </c>
    </row>
    <row r="31" spans="1:10">
      <c r="A31" t="s">
        <v>283</v>
      </c>
      <c r="B31" s="45">
        <v>421.98</v>
      </c>
      <c r="C31" s="45">
        <v>191.7936</v>
      </c>
      <c r="H31">
        <v>2</v>
      </c>
      <c r="I31" s="45">
        <v>439.24</v>
      </c>
      <c r="J31" s="45">
        <v>384.89</v>
      </c>
    </row>
    <row r="32" spans="1:10">
      <c r="A32" t="s">
        <v>284</v>
      </c>
      <c r="B32" s="45">
        <v>402.44</v>
      </c>
      <c r="C32" s="45">
        <v>167.852</v>
      </c>
      <c r="H32">
        <v>3</v>
      </c>
      <c r="I32" s="45">
        <v>421.74</v>
      </c>
      <c r="J32" s="45">
        <v>370.79</v>
      </c>
    </row>
    <row r="33" spans="1:10">
      <c r="A33" t="s">
        <v>285</v>
      </c>
      <c r="B33" s="45">
        <v>359.44</v>
      </c>
      <c r="C33" s="45">
        <v>126.41079999999999</v>
      </c>
      <c r="H33">
        <v>4</v>
      </c>
      <c r="I33" s="45">
        <v>375.34</v>
      </c>
      <c r="J33" s="45">
        <v>380.83</v>
      </c>
    </row>
    <row r="34" spans="1:10">
      <c r="A34" t="s">
        <v>286</v>
      </c>
      <c r="B34" s="45">
        <v>393.79</v>
      </c>
      <c r="C34" s="45">
        <v>154.37860000000001</v>
      </c>
      <c r="H34">
        <v>5</v>
      </c>
      <c r="I34" s="45">
        <v>413.43</v>
      </c>
      <c r="J34" s="45">
        <v>421.98</v>
      </c>
    </row>
    <row r="35" spans="1:10">
      <c r="A35" t="s">
        <v>287</v>
      </c>
      <c r="B35" s="45">
        <v>410.63</v>
      </c>
      <c r="C35" s="45">
        <v>158.87960000000001</v>
      </c>
      <c r="H35">
        <v>6</v>
      </c>
      <c r="I35" s="45">
        <v>433.33</v>
      </c>
      <c r="J35" s="45">
        <v>402.44</v>
      </c>
    </row>
    <row r="36" spans="1:10">
      <c r="A36" t="s">
        <v>288</v>
      </c>
      <c r="B36" s="45">
        <v>452.63</v>
      </c>
      <c r="C36" s="45">
        <v>206.53700000000001</v>
      </c>
      <c r="H36">
        <v>7</v>
      </c>
      <c r="I36" s="45">
        <v>384.89</v>
      </c>
      <c r="J36" s="45">
        <v>359.44</v>
      </c>
    </row>
    <row r="37" spans="1:10">
      <c r="A37" t="s">
        <v>289</v>
      </c>
      <c r="B37" s="45">
        <v>348.09</v>
      </c>
      <c r="C37" s="45">
        <v>140.81639999999999</v>
      </c>
      <c r="H37">
        <v>8</v>
      </c>
      <c r="I37" s="45">
        <v>370.79</v>
      </c>
      <c r="J37" s="45">
        <v>393.79</v>
      </c>
    </row>
    <row r="38" spans="1:10">
      <c r="A38" t="s">
        <v>290</v>
      </c>
      <c r="B38" s="45">
        <v>390.43</v>
      </c>
      <c r="C38" s="45">
        <v>137.2012</v>
      </c>
      <c r="H38">
        <v>9</v>
      </c>
      <c r="I38" s="45">
        <v>380.83</v>
      </c>
      <c r="J38" s="45">
        <v>410.63</v>
      </c>
    </row>
    <row r="39" spans="1:10">
      <c r="H39">
        <v>10</v>
      </c>
      <c r="I39" s="45">
        <v>421.98</v>
      </c>
      <c r="J39" s="45">
        <v>452.63</v>
      </c>
    </row>
    <row r="40" spans="1:10">
      <c r="H40">
        <v>11</v>
      </c>
      <c r="I40" s="45">
        <v>402.44</v>
      </c>
      <c r="J40" s="45">
        <v>348.09</v>
      </c>
    </row>
    <row r="41" spans="1:10">
      <c r="H41">
        <v>12</v>
      </c>
      <c r="I41" s="45">
        <v>359.44</v>
      </c>
      <c r="J41" s="45">
        <v>390.43</v>
      </c>
    </row>
    <row r="56" spans="1:3">
      <c r="A56" s="43" t="s">
        <v>126</v>
      </c>
      <c r="B56" s="43" t="s">
        <v>237</v>
      </c>
      <c r="C56" t="s">
        <v>266</v>
      </c>
    </row>
    <row r="57" spans="1:3">
      <c r="A57" t="s">
        <v>128</v>
      </c>
      <c r="B57" t="s">
        <v>233</v>
      </c>
      <c r="C57" s="45">
        <v>181.8</v>
      </c>
    </row>
    <row r="58" spans="1:3">
      <c r="A58" t="s">
        <v>128</v>
      </c>
      <c r="B58" t="s">
        <v>235</v>
      </c>
      <c r="C58" s="45">
        <v>408.8</v>
      </c>
    </row>
    <row r="59" spans="1:3">
      <c r="A59" t="s">
        <v>128</v>
      </c>
      <c r="B59" t="s">
        <v>234</v>
      </c>
      <c r="C59" s="45">
        <v>325.12</v>
      </c>
    </row>
    <row r="60" spans="1:3">
      <c r="A60" t="s">
        <v>128</v>
      </c>
      <c r="B60" t="s">
        <v>148</v>
      </c>
      <c r="C60" s="45">
        <v>200.8</v>
      </c>
    </row>
    <row r="61" spans="1:3">
      <c r="A61" t="s">
        <v>292</v>
      </c>
      <c r="C61" s="45">
        <v>1116.52</v>
      </c>
    </row>
    <row r="62" spans="1:3">
      <c r="A62" t="s">
        <v>2</v>
      </c>
      <c r="B62" t="s">
        <v>56</v>
      </c>
      <c r="C62" s="45">
        <v>1745</v>
      </c>
    </row>
    <row r="63" spans="1:3">
      <c r="A63" t="s">
        <v>2</v>
      </c>
      <c r="B63" t="s">
        <v>60</v>
      </c>
      <c r="C63" s="45">
        <v>532.5</v>
      </c>
    </row>
    <row r="64" spans="1:3">
      <c r="A64" t="s">
        <v>2</v>
      </c>
      <c r="B64" t="s">
        <v>231</v>
      </c>
      <c r="C64" s="45">
        <v>1263.5</v>
      </c>
    </row>
    <row r="65" spans="1:3">
      <c r="A65" t="s">
        <v>2</v>
      </c>
      <c r="B65" t="s">
        <v>232</v>
      </c>
      <c r="C65" s="45">
        <v>91.75</v>
      </c>
    </row>
    <row r="66" spans="1:3">
      <c r="A66" t="s">
        <v>293</v>
      </c>
      <c r="C66" s="45">
        <v>3632.75</v>
      </c>
    </row>
  </sheetData>
  <phoneticPr fontId="1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7988A"/>
  </sheetPr>
  <dimension ref="A1:P583"/>
  <sheetViews>
    <sheetView showGridLines="0" zoomScale="80" zoomScaleNormal="100" workbookViewId="0"/>
  </sheetViews>
  <sheetFormatPr defaultRowHeight="15"/>
  <cols>
    <col min="1" max="9" width="19" customWidth="1"/>
    <col min="10" max="10" width="12.625" customWidth="1"/>
    <col min="11" max="12" width="8.625" customWidth="1"/>
    <col min="13" max="13" width="12" customWidth="1"/>
  </cols>
  <sheetData>
    <row r="1" spans="1:16" ht="24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ht="24.95" customHeight="1">
      <c r="A2" s="23" t="s">
        <v>238</v>
      </c>
      <c r="B2" s="23"/>
      <c r="C2" s="23"/>
      <c r="D2" s="23"/>
      <c r="E2" s="23"/>
      <c r="F2" s="23"/>
      <c r="G2" s="23"/>
      <c r="H2" s="23"/>
      <c r="I2" s="23"/>
      <c r="J2" s="1"/>
      <c r="K2" s="1"/>
      <c r="L2" s="1"/>
      <c r="M2" s="1"/>
    </row>
    <row r="3" spans="1:16" ht="24.9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6" ht="30" customHeight="1">
      <c r="A4" s="2" t="s">
        <v>239</v>
      </c>
      <c r="B4" s="2" t="s">
        <v>126</v>
      </c>
      <c r="C4" s="2" t="s">
        <v>237</v>
      </c>
      <c r="D4" s="2" t="s">
        <v>27</v>
      </c>
      <c r="E4" s="2" t="s">
        <v>29</v>
      </c>
      <c r="F4" s="2" t="s">
        <v>228</v>
      </c>
      <c r="G4" s="2" t="s">
        <v>240</v>
      </c>
      <c r="H4" s="2" t="s">
        <v>229</v>
      </c>
      <c r="I4" s="2" t="s">
        <v>241</v>
      </c>
      <c r="J4" s="36" t="s">
        <v>246</v>
      </c>
      <c r="K4" s="36" t="s">
        <v>248</v>
      </c>
      <c r="L4" s="36" t="s">
        <v>249</v>
      </c>
      <c r="M4" s="1"/>
      <c r="N4" s="1"/>
      <c r="O4" s="1"/>
      <c r="P4" s="1"/>
    </row>
    <row r="5" spans="1:16" ht="24.95" customHeight="1">
      <c r="A5" s="15">
        <v>45662</v>
      </c>
      <c r="B5" s="1" t="s">
        <v>2</v>
      </c>
      <c r="C5" s="1" t="s">
        <v>56</v>
      </c>
      <c r="D5" s="7">
        <v>11</v>
      </c>
      <c r="E5" s="7">
        <v>50000</v>
      </c>
      <c r="F5" s="7">
        <f t="shared" ref="F5:F68" si="0">ROUND(D5*E5,0)</f>
        <v>550000</v>
      </c>
      <c r="G5" s="7">
        <v>297000</v>
      </c>
      <c r="H5" s="7">
        <f t="shared" ref="H5:H68" si="1">F5-G5</f>
        <v>253000</v>
      </c>
      <c r="I5" s="1" t="s">
        <v>242</v>
      </c>
      <c r="J5" s="1" t="str">
        <f>TEXT(SalesHistory[[#This Row],[日付]],"yyyy-mm")</f>
        <v>2025-01</v>
      </c>
      <c r="K5" s="35">
        <f>YEAR(SalesHistory[[#This Row],[日付]])</f>
        <v>2025</v>
      </c>
      <c r="L5" s="35">
        <f>MONTH(SalesHistory[[#This Row],[日付]])</f>
        <v>1</v>
      </c>
      <c r="M5" s="1"/>
      <c r="N5" s="1"/>
      <c r="O5" s="1"/>
      <c r="P5" s="1"/>
    </row>
    <row r="6" spans="1:16" ht="24.95" customHeight="1">
      <c r="A6" s="15">
        <v>45672</v>
      </c>
      <c r="B6" s="1" t="s">
        <v>2</v>
      </c>
      <c r="C6" s="1" t="s">
        <v>56</v>
      </c>
      <c r="D6" s="7">
        <v>16</v>
      </c>
      <c r="E6" s="7">
        <v>50000</v>
      </c>
      <c r="F6" s="7">
        <f t="shared" si="0"/>
        <v>800000</v>
      </c>
      <c r="G6" s="7">
        <v>432000</v>
      </c>
      <c r="H6" s="7">
        <f t="shared" si="1"/>
        <v>368000</v>
      </c>
      <c r="I6" s="1" t="s">
        <v>242</v>
      </c>
      <c r="J6" s="1" t="str">
        <f>TEXT(SalesHistory[[#This Row],[日付]],"yyyy-mm")</f>
        <v>2025-01</v>
      </c>
      <c r="K6" s="35">
        <f>YEAR(SalesHistory[[#This Row],[日付]])</f>
        <v>2025</v>
      </c>
      <c r="L6" s="35">
        <f>MONTH(SalesHistory[[#This Row],[日付]])</f>
        <v>1</v>
      </c>
      <c r="M6" s="1"/>
      <c r="N6" s="1"/>
      <c r="O6" s="1"/>
      <c r="P6" s="1"/>
    </row>
    <row r="7" spans="1:16" ht="24.95" customHeight="1">
      <c r="A7" s="15">
        <v>45682</v>
      </c>
      <c r="B7" s="1" t="s">
        <v>2</v>
      </c>
      <c r="C7" s="1" t="s">
        <v>56</v>
      </c>
      <c r="D7" s="7">
        <v>4</v>
      </c>
      <c r="E7" s="7">
        <v>50000</v>
      </c>
      <c r="F7" s="7">
        <f t="shared" si="0"/>
        <v>200000</v>
      </c>
      <c r="G7" s="7">
        <v>108000</v>
      </c>
      <c r="H7" s="7">
        <f t="shared" si="1"/>
        <v>92000</v>
      </c>
      <c r="I7" s="1" t="s">
        <v>242</v>
      </c>
      <c r="J7" s="1" t="str">
        <f>TEXT(SalesHistory[[#This Row],[日付]],"yyyy-mm")</f>
        <v>2025-01</v>
      </c>
      <c r="K7" s="35">
        <f>YEAR(SalesHistory[[#This Row],[日付]])</f>
        <v>2025</v>
      </c>
      <c r="L7" s="35">
        <f>MONTH(SalesHistory[[#This Row],[日付]])</f>
        <v>1</v>
      </c>
      <c r="M7" s="1"/>
      <c r="N7" s="1"/>
      <c r="O7" s="1"/>
      <c r="P7" s="1"/>
    </row>
    <row r="8" spans="1:16" ht="24.95" customHeight="1">
      <c r="A8" s="15">
        <v>45662</v>
      </c>
      <c r="B8" s="1" t="s">
        <v>2</v>
      </c>
      <c r="C8" s="1" t="s">
        <v>60</v>
      </c>
      <c r="D8" s="7">
        <v>14</v>
      </c>
      <c r="E8" s="7">
        <v>15000</v>
      </c>
      <c r="F8" s="7">
        <f t="shared" si="0"/>
        <v>210000</v>
      </c>
      <c r="G8" s="7">
        <v>126000</v>
      </c>
      <c r="H8" s="7">
        <f t="shared" si="1"/>
        <v>84000</v>
      </c>
      <c r="I8" s="1" t="s">
        <v>242</v>
      </c>
      <c r="J8" s="1" t="str">
        <f>TEXT(SalesHistory[[#This Row],[日付]],"yyyy-mm")</f>
        <v>2025-01</v>
      </c>
      <c r="K8" s="35">
        <f>YEAR(SalesHistory[[#This Row],[日付]])</f>
        <v>2025</v>
      </c>
      <c r="L8" s="35">
        <f>MONTH(SalesHistory[[#This Row],[日付]])</f>
        <v>1</v>
      </c>
      <c r="M8" s="1"/>
      <c r="N8" s="1"/>
      <c r="O8" s="1"/>
      <c r="P8" s="1"/>
    </row>
    <row r="9" spans="1:16" ht="24.95" customHeight="1">
      <c r="A9" s="15">
        <v>45672</v>
      </c>
      <c r="B9" s="1" t="s">
        <v>2</v>
      </c>
      <c r="C9" s="1" t="s">
        <v>60</v>
      </c>
      <c r="D9" s="7">
        <v>2</v>
      </c>
      <c r="E9" s="7">
        <v>15000</v>
      </c>
      <c r="F9" s="7">
        <f t="shared" si="0"/>
        <v>30000</v>
      </c>
      <c r="G9" s="7">
        <v>18000</v>
      </c>
      <c r="H9" s="7">
        <f t="shared" si="1"/>
        <v>12000</v>
      </c>
      <c r="I9" s="1" t="s">
        <v>242</v>
      </c>
      <c r="J9" s="1" t="str">
        <f>TEXT(SalesHistory[[#This Row],[日付]],"yyyy-mm")</f>
        <v>2025-01</v>
      </c>
      <c r="K9" s="35">
        <f>YEAR(SalesHistory[[#This Row],[日付]])</f>
        <v>2025</v>
      </c>
      <c r="L9" s="35">
        <f>MONTH(SalesHistory[[#This Row],[日付]])</f>
        <v>1</v>
      </c>
      <c r="M9" s="1"/>
      <c r="N9" s="1"/>
      <c r="O9" s="1"/>
      <c r="P9" s="1"/>
    </row>
    <row r="10" spans="1:16" ht="24.95" customHeight="1">
      <c r="A10" s="15">
        <v>45682</v>
      </c>
      <c r="B10" s="1" t="s">
        <v>2</v>
      </c>
      <c r="C10" s="1" t="s">
        <v>60</v>
      </c>
      <c r="D10" s="7">
        <v>7</v>
      </c>
      <c r="E10" s="7">
        <v>15000</v>
      </c>
      <c r="F10" s="7">
        <f t="shared" si="0"/>
        <v>105000</v>
      </c>
      <c r="G10" s="7">
        <v>63000</v>
      </c>
      <c r="H10" s="7">
        <f t="shared" si="1"/>
        <v>42000</v>
      </c>
      <c r="I10" s="1" t="s">
        <v>242</v>
      </c>
      <c r="J10" s="1" t="str">
        <f>TEXT(SalesHistory[[#This Row],[日付]],"yyyy-mm")</f>
        <v>2025-01</v>
      </c>
      <c r="K10" s="35">
        <f>YEAR(SalesHistory[[#This Row],[日付]])</f>
        <v>2025</v>
      </c>
      <c r="L10" s="35">
        <f>MONTH(SalesHistory[[#This Row],[日付]])</f>
        <v>1</v>
      </c>
      <c r="M10" s="1"/>
      <c r="N10" s="1"/>
      <c r="O10" s="1"/>
      <c r="P10" s="1"/>
    </row>
    <row r="11" spans="1:16" ht="24.95" customHeight="1">
      <c r="A11" s="15">
        <v>45662</v>
      </c>
      <c r="B11" s="1" t="s">
        <v>2</v>
      </c>
      <c r="C11" s="1" t="s">
        <v>231</v>
      </c>
      <c r="D11" s="7">
        <v>17</v>
      </c>
      <c r="E11" s="7">
        <v>35000</v>
      </c>
      <c r="F11" s="7">
        <f t="shared" si="0"/>
        <v>595000</v>
      </c>
      <c r="G11" s="7">
        <v>392700</v>
      </c>
      <c r="H11" s="7">
        <f t="shared" si="1"/>
        <v>202300</v>
      </c>
      <c r="I11" s="1" t="s">
        <v>242</v>
      </c>
      <c r="J11" s="1" t="str">
        <f>TEXT(SalesHistory[[#This Row],[日付]],"yyyy-mm")</f>
        <v>2025-01</v>
      </c>
      <c r="K11" s="35">
        <f>YEAR(SalesHistory[[#This Row],[日付]])</f>
        <v>2025</v>
      </c>
      <c r="L11" s="35">
        <f>MONTH(SalesHistory[[#This Row],[日付]])</f>
        <v>1</v>
      </c>
      <c r="M11" s="1"/>
      <c r="N11" s="1"/>
      <c r="O11" s="1"/>
      <c r="P11" s="1"/>
    </row>
    <row r="12" spans="1:16" ht="24.95" customHeight="1">
      <c r="A12" s="15">
        <v>45672</v>
      </c>
      <c r="B12" s="1" t="s">
        <v>2</v>
      </c>
      <c r="C12" s="1" t="s">
        <v>231</v>
      </c>
      <c r="D12" s="7">
        <v>5</v>
      </c>
      <c r="E12" s="7">
        <v>35000</v>
      </c>
      <c r="F12" s="7">
        <f t="shared" si="0"/>
        <v>175000</v>
      </c>
      <c r="G12" s="7">
        <v>115500</v>
      </c>
      <c r="H12" s="7">
        <f t="shared" si="1"/>
        <v>59500</v>
      </c>
      <c r="I12" s="1" t="s">
        <v>242</v>
      </c>
      <c r="J12" s="1" t="str">
        <f>TEXT(SalesHistory[[#This Row],[日付]],"yyyy-mm")</f>
        <v>2025-01</v>
      </c>
      <c r="K12" s="35">
        <f>YEAR(SalesHistory[[#This Row],[日付]])</f>
        <v>2025</v>
      </c>
      <c r="L12" s="35">
        <f>MONTH(SalesHistory[[#This Row],[日付]])</f>
        <v>1</v>
      </c>
      <c r="M12" s="1"/>
      <c r="N12" s="1"/>
      <c r="O12" s="1"/>
      <c r="P12" s="1"/>
    </row>
    <row r="13" spans="1:16" ht="24.95" customHeight="1">
      <c r="A13" s="15">
        <v>45682</v>
      </c>
      <c r="B13" s="1" t="s">
        <v>2</v>
      </c>
      <c r="C13" s="1" t="s">
        <v>231</v>
      </c>
      <c r="D13" s="7">
        <v>10</v>
      </c>
      <c r="E13" s="7">
        <v>35000</v>
      </c>
      <c r="F13" s="7">
        <f t="shared" si="0"/>
        <v>350000</v>
      </c>
      <c r="G13" s="7">
        <v>231000</v>
      </c>
      <c r="H13" s="7">
        <f t="shared" si="1"/>
        <v>119000</v>
      </c>
      <c r="I13" s="1" t="s">
        <v>242</v>
      </c>
      <c r="J13" s="1" t="str">
        <f>TEXT(SalesHistory[[#This Row],[日付]],"yyyy-mm")</f>
        <v>2025-01</v>
      </c>
      <c r="K13" s="35">
        <f>YEAR(SalesHistory[[#This Row],[日付]])</f>
        <v>2025</v>
      </c>
      <c r="L13" s="35">
        <f>MONTH(SalesHistory[[#This Row],[日付]])</f>
        <v>1</v>
      </c>
      <c r="M13" s="1"/>
      <c r="N13" s="1"/>
      <c r="O13" s="1"/>
      <c r="P13" s="1"/>
    </row>
    <row r="14" spans="1:16" ht="24.95" customHeight="1">
      <c r="A14" s="15">
        <v>45662</v>
      </c>
      <c r="B14" s="1" t="s">
        <v>2</v>
      </c>
      <c r="C14" s="1" t="s">
        <v>232</v>
      </c>
      <c r="D14" s="7">
        <v>3</v>
      </c>
      <c r="E14" s="7">
        <v>2500</v>
      </c>
      <c r="F14" s="7">
        <f t="shared" si="0"/>
        <v>7500</v>
      </c>
      <c r="G14" s="7">
        <v>5400</v>
      </c>
      <c r="H14" s="7">
        <f t="shared" si="1"/>
        <v>2100</v>
      </c>
      <c r="I14" s="1" t="s">
        <v>242</v>
      </c>
      <c r="J14" s="1" t="str">
        <f>TEXT(SalesHistory[[#This Row],[日付]],"yyyy-mm")</f>
        <v>2025-01</v>
      </c>
      <c r="K14" s="35">
        <f>YEAR(SalesHistory[[#This Row],[日付]])</f>
        <v>2025</v>
      </c>
      <c r="L14" s="35">
        <f>MONTH(SalesHistory[[#This Row],[日付]])</f>
        <v>1</v>
      </c>
      <c r="M14" s="1"/>
      <c r="N14" s="1"/>
      <c r="O14" s="1"/>
      <c r="P14" s="1"/>
    </row>
    <row r="15" spans="1:16" ht="24.95" customHeight="1">
      <c r="A15" s="15">
        <v>45672</v>
      </c>
      <c r="B15" s="1" t="s">
        <v>2</v>
      </c>
      <c r="C15" s="1" t="s">
        <v>232</v>
      </c>
      <c r="D15" s="7">
        <v>8</v>
      </c>
      <c r="E15" s="7">
        <v>2500</v>
      </c>
      <c r="F15" s="7">
        <f t="shared" si="0"/>
        <v>20000</v>
      </c>
      <c r="G15" s="7">
        <v>14400</v>
      </c>
      <c r="H15" s="7">
        <f t="shared" si="1"/>
        <v>5600</v>
      </c>
      <c r="I15" s="1" t="s">
        <v>242</v>
      </c>
      <c r="J15" s="1" t="str">
        <f>TEXT(SalesHistory[[#This Row],[日付]],"yyyy-mm")</f>
        <v>2025-01</v>
      </c>
      <c r="K15" s="35">
        <f>YEAR(SalesHistory[[#This Row],[日付]])</f>
        <v>2025</v>
      </c>
      <c r="L15" s="35">
        <f>MONTH(SalesHistory[[#This Row],[日付]])</f>
        <v>1</v>
      </c>
      <c r="M15" s="1"/>
      <c r="N15" s="1"/>
      <c r="O15" s="1"/>
      <c r="P15" s="1"/>
    </row>
    <row r="16" spans="1:16" ht="24.95" customHeight="1">
      <c r="A16" s="15">
        <v>45682</v>
      </c>
      <c r="B16" s="1" t="s">
        <v>2</v>
      </c>
      <c r="C16" s="1" t="s">
        <v>232</v>
      </c>
      <c r="D16" s="7">
        <v>13</v>
      </c>
      <c r="E16" s="7">
        <v>2500</v>
      </c>
      <c r="F16" s="7">
        <f t="shared" si="0"/>
        <v>32500</v>
      </c>
      <c r="G16" s="7">
        <v>23400</v>
      </c>
      <c r="H16" s="7">
        <f t="shared" si="1"/>
        <v>9100</v>
      </c>
      <c r="I16" s="1" t="s">
        <v>242</v>
      </c>
      <c r="J16" s="1" t="str">
        <f>TEXT(SalesHistory[[#This Row],[日付]],"yyyy-mm")</f>
        <v>2025-01</v>
      </c>
      <c r="K16" s="35">
        <f>YEAR(SalesHistory[[#This Row],[日付]])</f>
        <v>2025</v>
      </c>
      <c r="L16" s="35">
        <f>MONTH(SalesHistory[[#This Row],[日付]])</f>
        <v>1</v>
      </c>
      <c r="M16" s="1"/>
      <c r="N16" s="1"/>
      <c r="O16" s="1"/>
      <c r="P16" s="1"/>
    </row>
    <row r="17" spans="1:16" ht="24.95" customHeight="1">
      <c r="A17" s="15">
        <v>45662</v>
      </c>
      <c r="B17" s="1" t="s">
        <v>128</v>
      </c>
      <c r="C17" s="1" t="s">
        <v>148</v>
      </c>
      <c r="D17" s="7">
        <v>24</v>
      </c>
      <c r="E17" s="7">
        <v>2000</v>
      </c>
      <c r="F17" s="7">
        <f t="shared" si="0"/>
        <v>48000</v>
      </c>
      <c r="G17" s="7">
        <v>23040</v>
      </c>
      <c r="H17" s="7">
        <f t="shared" si="1"/>
        <v>24960</v>
      </c>
      <c r="I17" s="1" t="s">
        <v>242</v>
      </c>
      <c r="J17" s="1" t="str">
        <f>TEXT(SalesHistory[[#This Row],[日付]],"yyyy-mm")</f>
        <v>2025-01</v>
      </c>
      <c r="K17" s="35">
        <f>YEAR(SalesHistory[[#This Row],[日付]])</f>
        <v>2025</v>
      </c>
      <c r="L17" s="35">
        <f>MONTH(SalesHistory[[#This Row],[日付]])</f>
        <v>1</v>
      </c>
      <c r="M17" s="1"/>
      <c r="N17" s="1"/>
      <c r="O17" s="1"/>
      <c r="P17" s="1"/>
    </row>
    <row r="18" spans="1:16" ht="24.95" customHeight="1">
      <c r="A18" s="15">
        <v>45672</v>
      </c>
      <c r="B18" s="1" t="s">
        <v>128</v>
      </c>
      <c r="C18" s="1" t="s">
        <v>148</v>
      </c>
      <c r="D18" s="7">
        <v>29</v>
      </c>
      <c r="E18" s="7">
        <v>2000</v>
      </c>
      <c r="F18" s="7">
        <f t="shared" si="0"/>
        <v>58000</v>
      </c>
      <c r="G18" s="7">
        <v>27840</v>
      </c>
      <c r="H18" s="7">
        <f t="shared" si="1"/>
        <v>30160</v>
      </c>
      <c r="I18" s="1" t="s">
        <v>242</v>
      </c>
      <c r="J18" s="1" t="str">
        <f>TEXT(SalesHistory[[#This Row],[日付]],"yyyy-mm")</f>
        <v>2025-01</v>
      </c>
      <c r="K18" s="35">
        <f>YEAR(SalesHistory[[#This Row],[日付]])</f>
        <v>2025</v>
      </c>
      <c r="L18" s="35">
        <f>MONTH(SalesHistory[[#This Row],[日付]])</f>
        <v>1</v>
      </c>
      <c r="M18" s="1"/>
      <c r="N18" s="1"/>
      <c r="O18" s="1"/>
      <c r="P18" s="1"/>
    </row>
    <row r="19" spans="1:16" ht="24.95" customHeight="1">
      <c r="A19" s="15">
        <v>45682</v>
      </c>
      <c r="B19" s="1" t="s">
        <v>128</v>
      </c>
      <c r="C19" s="1" t="s">
        <v>148</v>
      </c>
      <c r="D19" s="7">
        <v>34</v>
      </c>
      <c r="E19" s="7">
        <v>2000</v>
      </c>
      <c r="F19" s="7">
        <f t="shared" si="0"/>
        <v>68000</v>
      </c>
      <c r="G19" s="7">
        <v>32640</v>
      </c>
      <c r="H19" s="7">
        <f t="shared" si="1"/>
        <v>35360</v>
      </c>
      <c r="I19" s="1" t="s">
        <v>242</v>
      </c>
      <c r="J19" s="1" t="str">
        <f>TEXT(SalesHistory[[#This Row],[日付]],"yyyy-mm")</f>
        <v>2025-01</v>
      </c>
      <c r="K19" s="35">
        <f>YEAR(SalesHistory[[#This Row],[日付]])</f>
        <v>2025</v>
      </c>
      <c r="L19" s="35">
        <f>MONTH(SalesHistory[[#This Row],[日付]])</f>
        <v>1</v>
      </c>
      <c r="M19" s="1"/>
      <c r="N19" s="1"/>
      <c r="O19" s="1"/>
      <c r="P19" s="1"/>
    </row>
    <row r="20" spans="1:16" ht="24.95" customHeight="1">
      <c r="A20" s="15">
        <v>45662</v>
      </c>
      <c r="B20" s="1" t="s">
        <v>128</v>
      </c>
      <c r="C20" s="1" t="s">
        <v>233</v>
      </c>
      <c r="D20" s="7">
        <v>27</v>
      </c>
      <c r="E20" s="7">
        <v>1800</v>
      </c>
      <c r="F20" s="7">
        <f t="shared" si="0"/>
        <v>48600</v>
      </c>
      <c r="G20" s="7">
        <v>26244</v>
      </c>
      <c r="H20" s="7">
        <f t="shared" si="1"/>
        <v>22356</v>
      </c>
      <c r="I20" s="1" t="s">
        <v>242</v>
      </c>
      <c r="J20" s="1" t="str">
        <f>TEXT(SalesHistory[[#This Row],[日付]],"yyyy-mm")</f>
        <v>2025-01</v>
      </c>
      <c r="K20" s="35">
        <f>YEAR(SalesHistory[[#This Row],[日付]])</f>
        <v>2025</v>
      </c>
      <c r="L20" s="35">
        <f>MONTH(SalesHistory[[#This Row],[日付]])</f>
        <v>1</v>
      </c>
      <c r="M20" s="1"/>
      <c r="N20" s="1"/>
      <c r="O20" s="1"/>
      <c r="P20" s="1"/>
    </row>
    <row r="21" spans="1:16" ht="24.95" customHeight="1">
      <c r="A21" s="15">
        <v>45672</v>
      </c>
      <c r="B21" s="1" t="s">
        <v>128</v>
      </c>
      <c r="C21" s="1" t="s">
        <v>233</v>
      </c>
      <c r="D21" s="7">
        <v>32</v>
      </c>
      <c r="E21" s="7">
        <v>1800</v>
      </c>
      <c r="F21" s="7">
        <f t="shared" si="0"/>
        <v>57600</v>
      </c>
      <c r="G21" s="7">
        <v>31104</v>
      </c>
      <c r="H21" s="7">
        <f t="shared" si="1"/>
        <v>26496</v>
      </c>
      <c r="I21" s="1" t="s">
        <v>242</v>
      </c>
      <c r="J21" s="1" t="str">
        <f>TEXT(SalesHistory[[#This Row],[日付]],"yyyy-mm")</f>
        <v>2025-01</v>
      </c>
      <c r="K21" s="35">
        <f>YEAR(SalesHistory[[#This Row],[日付]])</f>
        <v>2025</v>
      </c>
      <c r="L21" s="35">
        <f>MONTH(SalesHistory[[#This Row],[日付]])</f>
        <v>1</v>
      </c>
      <c r="M21" s="1"/>
      <c r="N21" s="1"/>
      <c r="O21" s="1"/>
      <c r="P21" s="1"/>
    </row>
    <row r="22" spans="1:16" ht="24.95" customHeight="1">
      <c r="A22" s="15">
        <v>45682</v>
      </c>
      <c r="B22" s="1" t="s">
        <v>128</v>
      </c>
      <c r="C22" s="1" t="s">
        <v>233</v>
      </c>
      <c r="D22" s="7">
        <v>20</v>
      </c>
      <c r="E22" s="7">
        <v>1800</v>
      </c>
      <c r="F22" s="7">
        <f t="shared" si="0"/>
        <v>36000</v>
      </c>
      <c r="G22" s="7">
        <v>19440</v>
      </c>
      <c r="H22" s="7">
        <f t="shared" si="1"/>
        <v>16560</v>
      </c>
      <c r="I22" s="1" t="s">
        <v>242</v>
      </c>
      <c r="J22" s="1" t="str">
        <f>TEXT(SalesHistory[[#This Row],[日付]],"yyyy-mm")</f>
        <v>2025-01</v>
      </c>
      <c r="K22" s="35">
        <f>YEAR(SalesHistory[[#This Row],[日付]])</f>
        <v>2025</v>
      </c>
      <c r="L22" s="35">
        <f>MONTH(SalesHistory[[#This Row],[日付]])</f>
        <v>1</v>
      </c>
      <c r="M22" s="1"/>
      <c r="N22" s="1"/>
      <c r="O22" s="1"/>
      <c r="P22" s="1"/>
    </row>
    <row r="23" spans="1:16" ht="24.95" customHeight="1">
      <c r="A23" s="15">
        <v>45662</v>
      </c>
      <c r="B23" s="1" t="s">
        <v>128</v>
      </c>
      <c r="C23" s="1" t="s">
        <v>234</v>
      </c>
      <c r="D23" s="7">
        <v>30</v>
      </c>
      <c r="E23" s="7">
        <v>3200</v>
      </c>
      <c r="F23" s="7">
        <f t="shared" si="0"/>
        <v>96000</v>
      </c>
      <c r="G23" s="7">
        <v>57600</v>
      </c>
      <c r="H23" s="7">
        <f t="shared" si="1"/>
        <v>38400</v>
      </c>
      <c r="I23" s="1" t="s">
        <v>242</v>
      </c>
      <c r="J23" s="1" t="str">
        <f>TEXT(SalesHistory[[#This Row],[日付]],"yyyy-mm")</f>
        <v>2025-01</v>
      </c>
      <c r="K23" s="35">
        <f>YEAR(SalesHistory[[#This Row],[日付]])</f>
        <v>2025</v>
      </c>
      <c r="L23" s="35">
        <f>MONTH(SalesHistory[[#This Row],[日付]])</f>
        <v>1</v>
      </c>
      <c r="M23" s="1"/>
      <c r="N23" s="1"/>
      <c r="O23" s="1"/>
      <c r="P23" s="1"/>
    </row>
    <row r="24" spans="1:16" ht="24.95" customHeight="1">
      <c r="A24" s="15">
        <v>45672</v>
      </c>
      <c r="B24" s="1" t="s">
        <v>128</v>
      </c>
      <c r="C24" s="1" t="s">
        <v>234</v>
      </c>
      <c r="D24" s="7">
        <v>35</v>
      </c>
      <c r="E24" s="7">
        <v>3200</v>
      </c>
      <c r="F24" s="7">
        <f t="shared" si="0"/>
        <v>112000</v>
      </c>
      <c r="G24" s="7">
        <v>67200</v>
      </c>
      <c r="H24" s="7">
        <f t="shared" si="1"/>
        <v>44800</v>
      </c>
      <c r="I24" s="1" t="s">
        <v>242</v>
      </c>
      <c r="J24" s="1" t="str">
        <f>TEXT(SalesHistory[[#This Row],[日付]],"yyyy-mm")</f>
        <v>2025-01</v>
      </c>
      <c r="K24" s="35">
        <f>YEAR(SalesHistory[[#This Row],[日付]])</f>
        <v>2025</v>
      </c>
      <c r="L24" s="35">
        <f>MONTH(SalesHistory[[#This Row],[日付]])</f>
        <v>1</v>
      </c>
      <c r="M24" s="1"/>
      <c r="N24" s="1"/>
      <c r="O24" s="1"/>
      <c r="P24" s="1"/>
    </row>
    <row r="25" spans="1:16" ht="24.95" customHeight="1">
      <c r="A25" s="15">
        <v>45682</v>
      </c>
      <c r="B25" s="1" t="s">
        <v>128</v>
      </c>
      <c r="C25" s="1" t="s">
        <v>234</v>
      </c>
      <c r="D25" s="7">
        <v>23</v>
      </c>
      <c r="E25" s="7">
        <v>3200</v>
      </c>
      <c r="F25" s="7">
        <f t="shared" si="0"/>
        <v>73600</v>
      </c>
      <c r="G25" s="7">
        <v>44160</v>
      </c>
      <c r="H25" s="7">
        <f t="shared" si="1"/>
        <v>29440</v>
      </c>
      <c r="I25" s="1" t="s">
        <v>242</v>
      </c>
      <c r="J25" s="1" t="str">
        <f>TEXT(SalesHistory[[#This Row],[日付]],"yyyy-mm")</f>
        <v>2025-01</v>
      </c>
      <c r="K25" s="35">
        <f>YEAR(SalesHistory[[#This Row],[日付]])</f>
        <v>2025</v>
      </c>
      <c r="L25" s="35">
        <f>MONTH(SalesHistory[[#This Row],[日付]])</f>
        <v>1</v>
      </c>
      <c r="M25" s="1"/>
      <c r="N25" s="1"/>
      <c r="O25" s="1"/>
      <c r="P25" s="1"/>
    </row>
    <row r="26" spans="1:16" ht="24.95" customHeight="1">
      <c r="A26" s="15">
        <v>45662</v>
      </c>
      <c r="B26" s="1" t="s">
        <v>128</v>
      </c>
      <c r="C26" s="1" t="s">
        <v>235</v>
      </c>
      <c r="D26" s="7">
        <v>33</v>
      </c>
      <c r="E26" s="7">
        <v>4000</v>
      </c>
      <c r="F26" s="7">
        <f t="shared" si="0"/>
        <v>132000</v>
      </c>
      <c r="G26" s="7">
        <v>87120</v>
      </c>
      <c r="H26" s="7">
        <f t="shared" si="1"/>
        <v>44880</v>
      </c>
      <c r="I26" s="1" t="s">
        <v>242</v>
      </c>
      <c r="J26" s="1" t="str">
        <f>TEXT(SalesHistory[[#This Row],[日付]],"yyyy-mm")</f>
        <v>2025-01</v>
      </c>
      <c r="K26" s="35">
        <f>YEAR(SalesHistory[[#This Row],[日付]])</f>
        <v>2025</v>
      </c>
      <c r="L26" s="35">
        <f>MONTH(SalesHistory[[#This Row],[日付]])</f>
        <v>1</v>
      </c>
      <c r="M26" s="1"/>
      <c r="N26" s="1"/>
      <c r="O26" s="1"/>
      <c r="P26" s="1"/>
    </row>
    <row r="27" spans="1:16" ht="24.95" customHeight="1">
      <c r="A27" s="15">
        <v>45672</v>
      </c>
      <c r="B27" s="1" t="s">
        <v>128</v>
      </c>
      <c r="C27" s="1" t="s">
        <v>235</v>
      </c>
      <c r="D27" s="7">
        <v>21</v>
      </c>
      <c r="E27" s="7">
        <v>4000</v>
      </c>
      <c r="F27" s="7">
        <f t="shared" si="0"/>
        <v>84000</v>
      </c>
      <c r="G27" s="7">
        <v>55440</v>
      </c>
      <c r="H27" s="7">
        <f t="shared" si="1"/>
        <v>28560</v>
      </c>
      <c r="I27" s="1" t="s">
        <v>242</v>
      </c>
      <c r="J27" s="1" t="str">
        <f>TEXT(SalesHistory[[#This Row],[日付]],"yyyy-mm")</f>
        <v>2025-01</v>
      </c>
      <c r="K27" s="35">
        <f>YEAR(SalesHistory[[#This Row],[日付]])</f>
        <v>2025</v>
      </c>
      <c r="L27" s="35">
        <f>MONTH(SalesHistory[[#This Row],[日付]])</f>
        <v>1</v>
      </c>
      <c r="M27" s="1"/>
      <c r="N27" s="1"/>
      <c r="O27" s="1"/>
      <c r="P27" s="1"/>
    </row>
    <row r="28" spans="1:16" ht="24.95" customHeight="1">
      <c r="A28" s="15">
        <v>45682</v>
      </c>
      <c r="B28" s="1" t="s">
        <v>128</v>
      </c>
      <c r="C28" s="1" t="s">
        <v>235</v>
      </c>
      <c r="D28" s="7">
        <v>26</v>
      </c>
      <c r="E28" s="7">
        <v>4000</v>
      </c>
      <c r="F28" s="7">
        <f t="shared" si="0"/>
        <v>104000</v>
      </c>
      <c r="G28" s="7">
        <v>68640</v>
      </c>
      <c r="H28" s="7">
        <f t="shared" si="1"/>
        <v>35360</v>
      </c>
      <c r="I28" s="1" t="s">
        <v>242</v>
      </c>
      <c r="J28" s="1" t="str">
        <f>TEXT(SalesHistory[[#This Row],[日付]],"yyyy-mm")</f>
        <v>2025-01</v>
      </c>
      <c r="K28" s="35">
        <f>YEAR(SalesHistory[[#This Row],[日付]])</f>
        <v>2025</v>
      </c>
      <c r="L28" s="35">
        <f>MONTH(SalesHistory[[#This Row],[日付]])</f>
        <v>1</v>
      </c>
      <c r="M28" s="1"/>
      <c r="N28" s="1"/>
      <c r="O28" s="1"/>
      <c r="P28" s="1"/>
    </row>
    <row r="29" spans="1:16" ht="24.95" customHeight="1">
      <c r="A29" s="15">
        <v>45693</v>
      </c>
      <c r="B29" s="1" t="s">
        <v>2</v>
      </c>
      <c r="C29" s="1" t="s">
        <v>56</v>
      </c>
      <c r="D29" s="7">
        <v>18</v>
      </c>
      <c r="E29" s="7">
        <v>50000</v>
      </c>
      <c r="F29" s="7">
        <f t="shared" si="0"/>
        <v>900000</v>
      </c>
      <c r="G29" s="7">
        <v>540000</v>
      </c>
      <c r="H29" s="7">
        <f t="shared" si="1"/>
        <v>360000</v>
      </c>
      <c r="I29" s="1" t="s">
        <v>242</v>
      </c>
      <c r="J29" s="1" t="str">
        <f>TEXT(SalesHistory[[#This Row],[日付]],"yyyy-mm")</f>
        <v>2025-02</v>
      </c>
      <c r="K29" s="35">
        <f>YEAR(SalesHistory[[#This Row],[日付]])</f>
        <v>2025</v>
      </c>
      <c r="L29" s="35">
        <f>MONTH(SalesHistory[[#This Row],[日付]])</f>
        <v>2</v>
      </c>
      <c r="M29" s="1"/>
      <c r="N29" s="1"/>
      <c r="O29" s="1"/>
      <c r="P29" s="1"/>
    </row>
    <row r="30" spans="1:16" ht="24.95" customHeight="1">
      <c r="A30" s="15">
        <v>45703</v>
      </c>
      <c r="B30" s="1" t="s">
        <v>2</v>
      </c>
      <c r="C30" s="1" t="s">
        <v>56</v>
      </c>
      <c r="D30" s="7">
        <v>6</v>
      </c>
      <c r="E30" s="7">
        <v>50000</v>
      </c>
      <c r="F30" s="7">
        <f t="shared" si="0"/>
        <v>300000</v>
      </c>
      <c r="G30" s="7">
        <v>180000</v>
      </c>
      <c r="H30" s="7">
        <f t="shared" si="1"/>
        <v>120000</v>
      </c>
      <c r="I30" s="1" t="s">
        <v>242</v>
      </c>
      <c r="J30" s="1" t="str">
        <f>TEXT(SalesHistory[[#This Row],[日付]],"yyyy-mm")</f>
        <v>2025-02</v>
      </c>
      <c r="K30" s="35">
        <f>YEAR(SalesHistory[[#This Row],[日付]])</f>
        <v>2025</v>
      </c>
      <c r="L30" s="35">
        <f>MONTH(SalesHistory[[#This Row],[日付]])</f>
        <v>2</v>
      </c>
      <c r="M30" s="1"/>
      <c r="N30" s="1"/>
      <c r="O30" s="1"/>
      <c r="P30" s="1"/>
    </row>
    <row r="31" spans="1:16" ht="24.95" customHeight="1">
      <c r="A31" s="15">
        <v>45713</v>
      </c>
      <c r="B31" s="1" t="s">
        <v>2</v>
      </c>
      <c r="C31" s="1" t="s">
        <v>56</v>
      </c>
      <c r="D31" s="7">
        <v>11</v>
      </c>
      <c r="E31" s="7">
        <v>50000</v>
      </c>
      <c r="F31" s="7">
        <f t="shared" si="0"/>
        <v>550000</v>
      </c>
      <c r="G31" s="7">
        <v>330000</v>
      </c>
      <c r="H31" s="7">
        <f t="shared" si="1"/>
        <v>220000</v>
      </c>
      <c r="I31" s="1" t="s">
        <v>242</v>
      </c>
      <c r="J31" s="1" t="str">
        <f>TEXT(SalesHistory[[#This Row],[日付]],"yyyy-mm")</f>
        <v>2025-02</v>
      </c>
      <c r="K31" s="35">
        <f>YEAR(SalesHistory[[#This Row],[日付]])</f>
        <v>2025</v>
      </c>
      <c r="L31" s="35">
        <f>MONTH(SalesHistory[[#This Row],[日付]])</f>
        <v>2</v>
      </c>
      <c r="M31" s="1"/>
      <c r="N31" s="1"/>
      <c r="O31" s="1"/>
      <c r="P31" s="1"/>
    </row>
    <row r="32" spans="1:16" ht="24.95" customHeight="1">
      <c r="A32" s="15">
        <v>45693</v>
      </c>
      <c r="B32" s="1" t="s">
        <v>2</v>
      </c>
      <c r="C32" s="1" t="s">
        <v>60</v>
      </c>
      <c r="D32" s="7">
        <v>4</v>
      </c>
      <c r="E32" s="7">
        <v>15000</v>
      </c>
      <c r="F32" s="7">
        <f t="shared" si="0"/>
        <v>60000</v>
      </c>
      <c r="G32" s="7">
        <v>39600</v>
      </c>
      <c r="H32" s="7">
        <f t="shared" si="1"/>
        <v>20400</v>
      </c>
      <c r="I32" s="1" t="s">
        <v>242</v>
      </c>
      <c r="J32" s="1" t="str">
        <f>TEXT(SalesHistory[[#This Row],[日付]],"yyyy-mm")</f>
        <v>2025-02</v>
      </c>
      <c r="K32" s="35">
        <f>YEAR(SalesHistory[[#This Row],[日付]])</f>
        <v>2025</v>
      </c>
      <c r="L32" s="35">
        <f>MONTH(SalesHistory[[#This Row],[日付]])</f>
        <v>2</v>
      </c>
      <c r="M32" s="1"/>
      <c r="N32" s="1"/>
      <c r="O32" s="1"/>
      <c r="P32" s="1"/>
    </row>
    <row r="33" spans="1:16" ht="24.95" customHeight="1">
      <c r="A33" s="15">
        <v>45703</v>
      </c>
      <c r="B33" s="1" t="s">
        <v>2</v>
      </c>
      <c r="C33" s="1" t="s">
        <v>60</v>
      </c>
      <c r="D33" s="7">
        <v>9</v>
      </c>
      <c r="E33" s="7">
        <v>15000</v>
      </c>
      <c r="F33" s="7">
        <f t="shared" si="0"/>
        <v>135000</v>
      </c>
      <c r="G33" s="7">
        <v>89100</v>
      </c>
      <c r="H33" s="7">
        <f t="shared" si="1"/>
        <v>45900</v>
      </c>
      <c r="I33" s="1" t="s">
        <v>242</v>
      </c>
      <c r="J33" s="1" t="str">
        <f>TEXT(SalesHistory[[#This Row],[日付]],"yyyy-mm")</f>
        <v>2025-02</v>
      </c>
      <c r="K33" s="35">
        <f>YEAR(SalesHistory[[#This Row],[日付]])</f>
        <v>2025</v>
      </c>
      <c r="L33" s="35">
        <f>MONTH(SalesHistory[[#This Row],[日付]])</f>
        <v>2</v>
      </c>
      <c r="M33" s="1"/>
      <c r="N33" s="1"/>
      <c r="O33" s="1"/>
      <c r="P33" s="1"/>
    </row>
    <row r="34" spans="1:16" ht="24.95" customHeight="1">
      <c r="A34" s="15">
        <v>45713</v>
      </c>
      <c r="B34" s="1" t="s">
        <v>2</v>
      </c>
      <c r="C34" s="1" t="s">
        <v>60</v>
      </c>
      <c r="D34" s="7">
        <v>14</v>
      </c>
      <c r="E34" s="7">
        <v>15000</v>
      </c>
      <c r="F34" s="7">
        <f t="shared" si="0"/>
        <v>210000</v>
      </c>
      <c r="G34" s="7">
        <v>138600</v>
      </c>
      <c r="H34" s="7">
        <f t="shared" si="1"/>
        <v>71400</v>
      </c>
      <c r="I34" s="1" t="s">
        <v>242</v>
      </c>
      <c r="J34" s="1" t="str">
        <f>TEXT(SalesHistory[[#This Row],[日付]],"yyyy-mm")</f>
        <v>2025-02</v>
      </c>
      <c r="K34" s="35">
        <f>YEAR(SalesHistory[[#This Row],[日付]])</f>
        <v>2025</v>
      </c>
      <c r="L34" s="35">
        <f>MONTH(SalesHistory[[#This Row],[日付]])</f>
        <v>2</v>
      </c>
      <c r="M34" s="1"/>
      <c r="N34" s="1"/>
      <c r="O34" s="1"/>
      <c r="P34" s="1"/>
    </row>
    <row r="35" spans="1:16" ht="24.95" customHeight="1">
      <c r="A35" s="15">
        <v>45693</v>
      </c>
      <c r="B35" s="1" t="s">
        <v>2</v>
      </c>
      <c r="C35" s="1" t="s">
        <v>231</v>
      </c>
      <c r="D35" s="7">
        <v>7</v>
      </c>
      <c r="E35" s="7">
        <v>35000</v>
      </c>
      <c r="F35" s="7">
        <f t="shared" si="0"/>
        <v>245000</v>
      </c>
      <c r="G35" s="7">
        <v>176400</v>
      </c>
      <c r="H35" s="7">
        <f t="shared" si="1"/>
        <v>68600</v>
      </c>
      <c r="I35" s="1" t="s">
        <v>242</v>
      </c>
      <c r="J35" s="1" t="str">
        <f>TEXT(SalesHistory[[#This Row],[日付]],"yyyy-mm")</f>
        <v>2025-02</v>
      </c>
      <c r="K35" s="35">
        <f>YEAR(SalesHistory[[#This Row],[日付]])</f>
        <v>2025</v>
      </c>
      <c r="L35" s="35">
        <f>MONTH(SalesHistory[[#This Row],[日付]])</f>
        <v>2</v>
      </c>
      <c r="M35" s="1"/>
      <c r="N35" s="1"/>
      <c r="O35" s="1"/>
      <c r="P35" s="1"/>
    </row>
    <row r="36" spans="1:16" ht="24.95" customHeight="1">
      <c r="A36" s="15">
        <v>45703</v>
      </c>
      <c r="B36" s="1" t="s">
        <v>2</v>
      </c>
      <c r="C36" s="1" t="s">
        <v>231</v>
      </c>
      <c r="D36" s="7">
        <v>12</v>
      </c>
      <c r="E36" s="7">
        <v>35000</v>
      </c>
      <c r="F36" s="7">
        <f t="shared" si="0"/>
        <v>420000</v>
      </c>
      <c r="G36" s="7">
        <v>302400</v>
      </c>
      <c r="H36" s="7">
        <f t="shared" si="1"/>
        <v>117600</v>
      </c>
      <c r="I36" s="1" t="s">
        <v>242</v>
      </c>
      <c r="J36" s="1" t="str">
        <f>TEXT(SalesHistory[[#This Row],[日付]],"yyyy-mm")</f>
        <v>2025-02</v>
      </c>
      <c r="K36" s="35">
        <f>YEAR(SalesHistory[[#This Row],[日付]])</f>
        <v>2025</v>
      </c>
      <c r="L36" s="35">
        <f>MONTH(SalesHistory[[#This Row],[日付]])</f>
        <v>2</v>
      </c>
      <c r="M36" s="1"/>
      <c r="N36" s="1"/>
      <c r="O36" s="1"/>
      <c r="P36" s="1"/>
    </row>
    <row r="37" spans="1:16" ht="24.95" customHeight="1">
      <c r="A37" s="15">
        <v>45713</v>
      </c>
      <c r="B37" s="1" t="s">
        <v>2</v>
      </c>
      <c r="C37" s="1" t="s">
        <v>231</v>
      </c>
      <c r="D37" s="7">
        <v>17</v>
      </c>
      <c r="E37" s="7">
        <v>35000</v>
      </c>
      <c r="F37" s="7">
        <f t="shared" si="0"/>
        <v>595000</v>
      </c>
      <c r="G37" s="7">
        <v>428400</v>
      </c>
      <c r="H37" s="7">
        <f t="shared" si="1"/>
        <v>166600</v>
      </c>
      <c r="I37" s="1" t="s">
        <v>242</v>
      </c>
      <c r="J37" s="1" t="str">
        <f>TEXT(SalesHistory[[#This Row],[日付]],"yyyy-mm")</f>
        <v>2025-02</v>
      </c>
      <c r="K37" s="35">
        <f>YEAR(SalesHistory[[#This Row],[日付]])</f>
        <v>2025</v>
      </c>
      <c r="L37" s="35">
        <f>MONTH(SalesHistory[[#This Row],[日付]])</f>
        <v>2</v>
      </c>
      <c r="M37" s="1"/>
      <c r="N37" s="1"/>
      <c r="O37" s="1"/>
      <c r="P37" s="1"/>
    </row>
    <row r="38" spans="1:16" ht="24.95" customHeight="1">
      <c r="A38" s="15">
        <v>45693</v>
      </c>
      <c r="B38" s="1" t="s">
        <v>2</v>
      </c>
      <c r="C38" s="1" t="s">
        <v>232</v>
      </c>
      <c r="D38" s="7">
        <v>10</v>
      </c>
      <c r="E38" s="7">
        <v>2500</v>
      </c>
      <c r="F38" s="7">
        <f t="shared" si="0"/>
        <v>25000</v>
      </c>
      <c r="G38" s="7">
        <v>12000</v>
      </c>
      <c r="H38" s="7">
        <f t="shared" si="1"/>
        <v>13000</v>
      </c>
      <c r="I38" s="1" t="s">
        <v>242</v>
      </c>
      <c r="J38" s="1" t="str">
        <f>TEXT(SalesHistory[[#This Row],[日付]],"yyyy-mm")</f>
        <v>2025-02</v>
      </c>
      <c r="K38" s="35">
        <f>YEAR(SalesHistory[[#This Row],[日付]])</f>
        <v>2025</v>
      </c>
      <c r="L38" s="35">
        <f>MONTH(SalesHistory[[#This Row],[日付]])</f>
        <v>2</v>
      </c>
      <c r="M38" s="1"/>
      <c r="N38" s="1"/>
      <c r="O38" s="1"/>
      <c r="P38" s="1"/>
    </row>
    <row r="39" spans="1:16" ht="24.95" customHeight="1">
      <c r="A39" s="15">
        <v>45703</v>
      </c>
      <c r="B39" s="1" t="s">
        <v>2</v>
      </c>
      <c r="C39" s="1" t="s">
        <v>232</v>
      </c>
      <c r="D39" s="7">
        <v>15</v>
      </c>
      <c r="E39" s="7">
        <v>2500</v>
      </c>
      <c r="F39" s="7">
        <f t="shared" si="0"/>
        <v>37500</v>
      </c>
      <c r="G39" s="7">
        <v>18000</v>
      </c>
      <c r="H39" s="7">
        <f t="shared" si="1"/>
        <v>19500</v>
      </c>
      <c r="I39" s="1" t="s">
        <v>242</v>
      </c>
      <c r="J39" s="1" t="str">
        <f>TEXT(SalesHistory[[#This Row],[日付]],"yyyy-mm")</f>
        <v>2025-02</v>
      </c>
      <c r="K39" s="35">
        <f>YEAR(SalesHistory[[#This Row],[日付]])</f>
        <v>2025</v>
      </c>
      <c r="L39" s="35">
        <f>MONTH(SalesHistory[[#This Row],[日付]])</f>
        <v>2</v>
      </c>
      <c r="M39" s="1"/>
      <c r="N39" s="1"/>
      <c r="O39" s="1"/>
      <c r="P39" s="1"/>
    </row>
    <row r="40" spans="1:16" ht="24.95" customHeight="1">
      <c r="A40" s="15">
        <v>45713</v>
      </c>
      <c r="B40" s="1" t="s">
        <v>2</v>
      </c>
      <c r="C40" s="1" t="s">
        <v>232</v>
      </c>
      <c r="D40" s="7">
        <v>3</v>
      </c>
      <c r="E40" s="7">
        <v>2500</v>
      </c>
      <c r="F40" s="7">
        <f t="shared" si="0"/>
        <v>7500</v>
      </c>
      <c r="G40" s="7">
        <v>3600</v>
      </c>
      <c r="H40" s="7">
        <f t="shared" si="1"/>
        <v>3900</v>
      </c>
      <c r="I40" s="1" t="s">
        <v>242</v>
      </c>
      <c r="J40" s="1" t="str">
        <f>TEXT(SalesHistory[[#This Row],[日付]],"yyyy-mm")</f>
        <v>2025-02</v>
      </c>
      <c r="K40" s="35">
        <f>YEAR(SalesHistory[[#This Row],[日付]])</f>
        <v>2025</v>
      </c>
      <c r="L40" s="35">
        <f>MONTH(SalesHistory[[#This Row],[日付]])</f>
        <v>2</v>
      </c>
      <c r="M40" s="1"/>
      <c r="N40" s="1"/>
      <c r="O40" s="1"/>
      <c r="P40" s="1"/>
    </row>
    <row r="41" spans="1:16" ht="24.95" customHeight="1">
      <c r="A41" s="15">
        <v>45693</v>
      </c>
      <c r="B41" s="1" t="s">
        <v>128</v>
      </c>
      <c r="C41" s="1" t="s">
        <v>148</v>
      </c>
      <c r="D41" s="7">
        <v>31</v>
      </c>
      <c r="E41" s="7">
        <v>2000</v>
      </c>
      <c r="F41" s="7">
        <f t="shared" si="0"/>
        <v>62000</v>
      </c>
      <c r="G41" s="7">
        <v>33480</v>
      </c>
      <c r="H41" s="7">
        <f t="shared" si="1"/>
        <v>28520</v>
      </c>
      <c r="I41" s="1" t="s">
        <v>242</v>
      </c>
      <c r="J41" s="1" t="str">
        <f>TEXT(SalesHistory[[#This Row],[日付]],"yyyy-mm")</f>
        <v>2025-02</v>
      </c>
      <c r="K41" s="35">
        <f>YEAR(SalesHistory[[#This Row],[日付]])</f>
        <v>2025</v>
      </c>
      <c r="L41" s="35">
        <f>MONTH(SalesHistory[[#This Row],[日付]])</f>
        <v>2</v>
      </c>
      <c r="M41" s="1"/>
      <c r="N41" s="1"/>
      <c r="O41" s="1"/>
      <c r="P41" s="1"/>
    </row>
    <row r="42" spans="1:16" ht="24.95" customHeight="1">
      <c r="A42" s="15">
        <v>45703</v>
      </c>
      <c r="B42" s="1" t="s">
        <v>128</v>
      </c>
      <c r="C42" s="1" t="s">
        <v>148</v>
      </c>
      <c r="D42" s="7">
        <v>36</v>
      </c>
      <c r="E42" s="7">
        <v>2000</v>
      </c>
      <c r="F42" s="7">
        <f t="shared" si="0"/>
        <v>72000</v>
      </c>
      <c r="G42" s="7">
        <v>38880</v>
      </c>
      <c r="H42" s="7">
        <f t="shared" si="1"/>
        <v>33120</v>
      </c>
      <c r="I42" s="1" t="s">
        <v>242</v>
      </c>
      <c r="J42" s="1" t="str">
        <f>TEXT(SalesHistory[[#This Row],[日付]],"yyyy-mm")</f>
        <v>2025-02</v>
      </c>
      <c r="K42" s="35">
        <f>YEAR(SalesHistory[[#This Row],[日付]])</f>
        <v>2025</v>
      </c>
      <c r="L42" s="35">
        <f>MONTH(SalesHistory[[#This Row],[日付]])</f>
        <v>2</v>
      </c>
      <c r="M42" s="1"/>
      <c r="N42" s="1"/>
      <c r="O42" s="1"/>
      <c r="P42" s="1"/>
    </row>
    <row r="43" spans="1:16" ht="24.95" customHeight="1">
      <c r="A43" s="15">
        <v>45713</v>
      </c>
      <c r="B43" s="1" t="s">
        <v>128</v>
      </c>
      <c r="C43" s="1" t="s">
        <v>148</v>
      </c>
      <c r="D43" s="7">
        <v>24</v>
      </c>
      <c r="E43" s="7">
        <v>2000</v>
      </c>
      <c r="F43" s="7">
        <f t="shared" si="0"/>
        <v>48000</v>
      </c>
      <c r="G43" s="7">
        <v>25920</v>
      </c>
      <c r="H43" s="7">
        <f t="shared" si="1"/>
        <v>22080</v>
      </c>
      <c r="I43" s="1" t="s">
        <v>242</v>
      </c>
      <c r="J43" s="1" t="str">
        <f>TEXT(SalesHistory[[#This Row],[日付]],"yyyy-mm")</f>
        <v>2025-02</v>
      </c>
      <c r="K43" s="35">
        <f>YEAR(SalesHistory[[#This Row],[日付]])</f>
        <v>2025</v>
      </c>
      <c r="L43" s="35">
        <f>MONTH(SalesHistory[[#This Row],[日付]])</f>
        <v>2</v>
      </c>
      <c r="M43" s="1"/>
      <c r="N43" s="1"/>
      <c r="O43" s="1"/>
      <c r="P43" s="1"/>
    </row>
    <row r="44" spans="1:16" ht="24.95" customHeight="1">
      <c r="A44" s="15">
        <v>45693</v>
      </c>
      <c r="B44" s="1" t="s">
        <v>128</v>
      </c>
      <c r="C44" s="1" t="s">
        <v>233</v>
      </c>
      <c r="D44" s="7">
        <v>34</v>
      </c>
      <c r="E44" s="7">
        <v>1800</v>
      </c>
      <c r="F44" s="7">
        <f t="shared" si="0"/>
        <v>61200</v>
      </c>
      <c r="G44" s="7">
        <v>36720</v>
      </c>
      <c r="H44" s="7">
        <f t="shared" si="1"/>
        <v>24480</v>
      </c>
      <c r="I44" s="1" t="s">
        <v>242</v>
      </c>
      <c r="J44" s="1" t="str">
        <f>TEXT(SalesHistory[[#This Row],[日付]],"yyyy-mm")</f>
        <v>2025-02</v>
      </c>
      <c r="K44" s="35">
        <f>YEAR(SalesHistory[[#This Row],[日付]])</f>
        <v>2025</v>
      </c>
      <c r="L44" s="35">
        <f>MONTH(SalesHistory[[#This Row],[日付]])</f>
        <v>2</v>
      </c>
      <c r="M44" s="1"/>
      <c r="N44" s="1"/>
      <c r="O44" s="1"/>
      <c r="P44" s="1"/>
    </row>
    <row r="45" spans="1:16" ht="24.95" customHeight="1">
      <c r="A45" s="15">
        <v>45703</v>
      </c>
      <c r="B45" s="1" t="s">
        <v>128</v>
      </c>
      <c r="C45" s="1" t="s">
        <v>233</v>
      </c>
      <c r="D45" s="7">
        <v>22</v>
      </c>
      <c r="E45" s="7">
        <v>1800</v>
      </c>
      <c r="F45" s="7">
        <f t="shared" si="0"/>
        <v>39600</v>
      </c>
      <c r="G45" s="7">
        <v>23760</v>
      </c>
      <c r="H45" s="7">
        <f t="shared" si="1"/>
        <v>15840</v>
      </c>
      <c r="I45" s="1" t="s">
        <v>242</v>
      </c>
      <c r="J45" s="1" t="str">
        <f>TEXT(SalesHistory[[#This Row],[日付]],"yyyy-mm")</f>
        <v>2025-02</v>
      </c>
      <c r="K45" s="35">
        <f>YEAR(SalesHistory[[#This Row],[日付]])</f>
        <v>2025</v>
      </c>
      <c r="L45" s="35">
        <f>MONTH(SalesHistory[[#This Row],[日付]])</f>
        <v>2</v>
      </c>
      <c r="M45" s="1"/>
      <c r="N45" s="1"/>
      <c r="O45" s="1"/>
      <c r="P45" s="1"/>
    </row>
    <row r="46" spans="1:16" ht="24.95" customHeight="1">
      <c r="A46" s="15">
        <v>45713</v>
      </c>
      <c r="B46" s="1" t="s">
        <v>128</v>
      </c>
      <c r="C46" s="1" t="s">
        <v>233</v>
      </c>
      <c r="D46" s="7">
        <v>27</v>
      </c>
      <c r="E46" s="7">
        <v>1800</v>
      </c>
      <c r="F46" s="7">
        <f t="shared" si="0"/>
        <v>48600</v>
      </c>
      <c r="G46" s="7">
        <v>29160</v>
      </c>
      <c r="H46" s="7">
        <f t="shared" si="1"/>
        <v>19440</v>
      </c>
      <c r="I46" s="1" t="s">
        <v>242</v>
      </c>
      <c r="J46" s="1" t="str">
        <f>TEXT(SalesHistory[[#This Row],[日付]],"yyyy-mm")</f>
        <v>2025-02</v>
      </c>
      <c r="K46" s="35">
        <f>YEAR(SalesHistory[[#This Row],[日付]])</f>
        <v>2025</v>
      </c>
      <c r="L46" s="35">
        <f>MONTH(SalesHistory[[#This Row],[日付]])</f>
        <v>2</v>
      </c>
      <c r="M46" s="1"/>
      <c r="N46" s="1"/>
      <c r="O46" s="1"/>
      <c r="P46" s="1"/>
    </row>
    <row r="47" spans="1:16" ht="24.95" customHeight="1">
      <c r="A47" s="15">
        <v>45693</v>
      </c>
      <c r="B47" s="1" t="s">
        <v>128</v>
      </c>
      <c r="C47" s="1" t="s">
        <v>234</v>
      </c>
      <c r="D47" s="7">
        <v>20</v>
      </c>
      <c r="E47" s="7">
        <v>3200</v>
      </c>
      <c r="F47" s="7">
        <f t="shared" si="0"/>
        <v>64000</v>
      </c>
      <c r="G47" s="7">
        <v>42240</v>
      </c>
      <c r="H47" s="7">
        <f t="shared" si="1"/>
        <v>21760</v>
      </c>
      <c r="I47" s="1" t="s">
        <v>242</v>
      </c>
      <c r="J47" s="1" t="str">
        <f>TEXT(SalesHistory[[#This Row],[日付]],"yyyy-mm")</f>
        <v>2025-02</v>
      </c>
      <c r="K47" s="35">
        <f>YEAR(SalesHistory[[#This Row],[日付]])</f>
        <v>2025</v>
      </c>
      <c r="L47" s="35">
        <f>MONTH(SalesHistory[[#This Row],[日付]])</f>
        <v>2</v>
      </c>
      <c r="M47" s="1"/>
      <c r="N47" s="1"/>
      <c r="O47" s="1"/>
      <c r="P47" s="1"/>
    </row>
    <row r="48" spans="1:16" ht="24.95" customHeight="1">
      <c r="A48" s="15">
        <v>45703</v>
      </c>
      <c r="B48" s="1" t="s">
        <v>128</v>
      </c>
      <c r="C48" s="1" t="s">
        <v>234</v>
      </c>
      <c r="D48" s="7">
        <v>25</v>
      </c>
      <c r="E48" s="7">
        <v>3200</v>
      </c>
      <c r="F48" s="7">
        <f t="shared" si="0"/>
        <v>80000</v>
      </c>
      <c r="G48" s="7">
        <v>52800</v>
      </c>
      <c r="H48" s="7">
        <f t="shared" si="1"/>
        <v>27200</v>
      </c>
      <c r="I48" s="1" t="s">
        <v>242</v>
      </c>
      <c r="J48" s="1" t="str">
        <f>TEXT(SalesHistory[[#This Row],[日付]],"yyyy-mm")</f>
        <v>2025-02</v>
      </c>
      <c r="K48" s="35">
        <f>YEAR(SalesHistory[[#This Row],[日付]])</f>
        <v>2025</v>
      </c>
      <c r="L48" s="35">
        <f>MONTH(SalesHistory[[#This Row],[日付]])</f>
        <v>2</v>
      </c>
      <c r="M48" s="1"/>
      <c r="N48" s="1"/>
      <c r="O48" s="1"/>
      <c r="P48" s="1"/>
    </row>
    <row r="49" spans="1:16" ht="24.95" customHeight="1">
      <c r="A49" s="15">
        <v>45713</v>
      </c>
      <c r="B49" s="1" t="s">
        <v>128</v>
      </c>
      <c r="C49" s="1" t="s">
        <v>234</v>
      </c>
      <c r="D49" s="7">
        <v>30</v>
      </c>
      <c r="E49" s="7">
        <v>3200</v>
      </c>
      <c r="F49" s="7">
        <f t="shared" si="0"/>
        <v>96000</v>
      </c>
      <c r="G49" s="7">
        <v>63360</v>
      </c>
      <c r="H49" s="7">
        <f t="shared" si="1"/>
        <v>32640</v>
      </c>
      <c r="I49" s="1" t="s">
        <v>242</v>
      </c>
      <c r="J49" s="1" t="str">
        <f>TEXT(SalesHistory[[#This Row],[日付]],"yyyy-mm")</f>
        <v>2025-02</v>
      </c>
      <c r="K49" s="35">
        <f>YEAR(SalesHistory[[#This Row],[日付]])</f>
        <v>2025</v>
      </c>
      <c r="L49" s="35">
        <f>MONTH(SalesHistory[[#This Row],[日付]])</f>
        <v>2</v>
      </c>
      <c r="M49" s="1"/>
      <c r="N49" s="1"/>
      <c r="O49" s="1"/>
      <c r="P49" s="1"/>
    </row>
    <row r="50" spans="1:16" ht="24.95" customHeight="1">
      <c r="A50" s="15">
        <v>45693</v>
      </c>
      <c r="B50" s="1" t="s">
        <v>128</v>
      </c>
      <c r="C50" s="1" t="s">
        <v>235</v>
      </c>
      <c r="D50" s="7">
        <v>23</v>
      </c>
      <c r="E50" s="7">
        <v>4000</v>
      </c>
      <c r="F50" s="7">
        <f t="shared" si="0"/>
        <v>92000</v>
      </c>
      <c r="G50" s="7">
        <v>66240</v>
      </c>
      <c r="H50" s="7">
        <f t="shared" si="1"/>
        <v>25760</v>
      </c>
      <c r="I50" s="1" t="s">
        <v>242</v>
      </c>
      <c r="J50" s="1" t="str">
        <f>TEXT(SalesHistory[[#This Row],[日付]],"yyyy-mm")</f>
        <v>2025-02</v>
      </c>
      <c r="K50" s="35">
        <f>YEAR(SalesHistory[[#This Row],[日付]])</f>
        <v>2025</v>
      </c>
      <c r="L50" s="35">
        <f>MONTH(SalesHistory[[#This Row],[日付]])</f>
        <v>2</v>
      </c>
      <c r="M50" s="1"/>
      <c r="N50" s="1"/>
      <c r="O50" s="1"/>
      <c r="P50" s="1"/>
    </row>
    <row r="51" spans="1:16" ht="24.95" customHeight="1">
      <c r="A51" s="15">
        <v>45703</v>
      </c>
      <c r="B51" s="1" t="s">
        <v>128</v>
      </c>
      <c r="C51" s="1" t="s">
        <v>235</v>
      </c>
      <c r="D51" s="7">
        <v>28</v>
      </c>
      <c r="E51" s="7">
        <v>4000</v>
      </c>
      <c r="F51" s="7">
        <f t="shared" si="0"/>
        <v>112000</v>
      </c>
      <c r="G51" s="7">
        <v>80640</v>
      </c>
      <c r="H51" s="7">
        <f t="shared" si="1"/>
        <v>31360</v>
      </c>
      <c r="I51" s="1" t="s">
        <v>242</v>
      </c>
      <c r="J51" s="1" t="str">
        <f>TEXT(SalesHistory[[#This Row],[日付]],"yyyy-mm")</f>
        <v>2025-02</v>
      </c>
      <c r="K51" s="35">
        <f>YEAR(SalesHistory[[#This Row],[日付]])</f>
        <v>2025</v>
      </c>
      <c r="L51" s="35">
        <f>MONTH(SalesHistory[[#This Row],[日付]])</f>
        <v>2</v>
      </c>
      <c r="M51" s="1"/>
      <c r="N51" s="1"/>
      <c r="O51" s="1"/>
      <c r="P51" s="1"/>
    </row>
    <row r="52" spans="1:16" ht="24.95" customHeight="1">
      <c r="A52" s="15">
        <v>45713</v>
      </c>
      <c r="B52" s="1" t="s">
        <v>128</v>
      </c>
      <c r="C52" s="1" t="s">
        <v>235</v>
      </c>
      <c r="D52" s="7">
        <v>33</v>
      </c>
      <c r="E52" s="7">
        <v>4000</v>
      </c>
      <c r="F52" s="7">
        <f t="shared" si="0"/>
        <v>132000</v>
      </c>
      <c r="G52" s="7">
        <v>95040</v>
      </c>
      <c r="H52" s="7">
        <f t="shared" si="1"/>
        <v>36960</v>
      </c>
      <c r="I52" s="1" t="s">
        <v>242</v>
      </c>
      <c r="J52" s="1" t="str">
        <f>TEXT(SalesHistory[[#This Row],[日付]],"yyyy-mm")</f>
        <v>2025-02</v>
      </c>
      <c r="K52" s="35">
        <f>YEAR(SalesHistory[[#This Row],[日付]])</f>
        <v>2025</v>
      </c>
      <c r="L52" s="35">
        <f>MONTH(SalesHistory[[#This Row],[日付]])</f>
        <v>2</v>
      </c>
      <c r="M52" s="1"/>
      <c r="N52" s="1"/>
      <c r="O52" s="1"/>
      <c r="P52" s="1"/>
    </row>
    <row r="53" spans="1:16" ht="24.95" customHeight="1">
      <c r="A53" s="15">
        <v>45721</v>
      </c>
      <c r="B53" s="1" t="s">
        <v>2</v>
      </c>
      <c r="C53" s="1" t="s">
        <v>56</v>
      </c>
      <c r="D53" s="7">
        <v>8</v>
      </c>
      <c r="E53" s="7">
        <v>50000</v>
      </c>
      <c r="F53" s="7">
        <f t="shared" si="0"/>
        <v>400000</v>
      </c>
      <c r="G53" s="7">
        <v>264000</v>
      </c>
      <c r="H53" s="7">
        <f t="shared" si="1"/>
        <v>136000</v>
      </c>
      <c r="I53" s="1" t="s">
        <v>242</v>
      </c>
      <c r="J53" s="1" t="str">
        <f>TEXT(SalesHistory[[#This Row],[日付]],"yyyy-mm")</f>
        <v>2025-03</v>
      </c>
      <c r="K53" s="35">
        <f>YEAR(SalesHistory[[#This Row],[日付]])</f>
        <v>2025</v>
      </c>
      <c r="L53" s="35">
        <f>MONTH(SalesHistory[[#This Row],[日付]])</f>
        <v>3</v>
      </c>
      <c r="M53" s="1"/>
      <c r="N53" s="1"/>
      <c r="O53" s="1"/>
      <c r="P53" s="1"/>
    </row>
    <row r="54" spans="1:16" ht="24.95" customHeight="1">
      <c r="A54" s="15">
        <v>45731</v>
      </c>
      <c r="B54" s="1" t="s">
        <v>2</v>
      </c>
      <c r="C54" s="1" t="s">
        <v>56</v>
      </c>
      <c r="D54" s="7">
        <v>13</v>
      </c>
      <c r="E54" s="7">
        <v>50000</v>
      </c>
      <c r="F54" s="7">
        <f t="shared" si="0"/>
        <v>650000</v>
      </c>
      <c r="G54" s="7">
        <v>429000</v>
      </c>
      <c r="H54" s="7">
        <f t="shared" si="1"/>
        <v>221000</v>
      </c>
      <c r="I54" s="1" t="s">
        <v>242</v>
      </c>
      <c r="J54" s="1" t="str">
        <f>TEXT(SalesHistory[[#This Row],[日付]],"yyyy-mm")</f>
        <v>2025-03</v>
      </c>
      <c r="K54" s="35">
        <f>YEAR(SalesHistory[[#This Row],[日付]])</f>
        <v>2025</v>
      </c>
      <c r="L54" s="35">
        <f>MONTH(SalesHistory[[#This Row],[日付]])</f>
        <v>3</v>
      </c>
      <c r="M54" s="1"/>
      <c r="N54" s="1"/>
      <c r="O54" s="1"/>
      <c r="P54" s="1"/>
    </row>
    <row r="55" spans="1:16" ht="24.95" customHeight="1">
      <c r="A55" s="15">
        <v>45741</v>
      </c>
      <c r="B55" s="1" t="s">
        <v>2</v>
      </c>
      <c r="C55" s="1" t="s">
        <v>56</v>
      </c>
      <c r="D55" s="7">
        <v>18</v>
      </c>
      <c r="E55" s="7">
        <v>50000</v>
      </c>
      <c r="F55" s="7">
        <f t="shared" si="0"/>
        <v>900000</v>
      </c>
      <c r="G55" s="7">
        <v>594000</v>
      </c>
      <c r="H55" s="7">
        <f t="shared" si="1"/>
        <v>306000</v>
      </c>
      <c r="I55" s="1" t="s">
        <v>242</v>
      </c>
      <c r="J55" s="1" t="str">
        <f>TEXT(SalesHistory[[#This Row],[日付]],"yyyy-mm")</f>
        <v>2025-03</v>
      </c>
      <c r="K55" s="35">
        <f>YEAR(SalesHistory[[#This Row],[日付]])</f>
        <v>2025</v>
      </c>
      <c r="L55" s="35">
        <f>MONTH(SalesHistory[[#This Row],[日付]])</f>
        <v>3</v>
      </c>
      <c r="M55" s="1"/>
      <c r="N55" s="1"/>
      <c r="O55" s="1"/>
      <c r="P55" s="1"/>
    </row>
    <row r="56" spans="1:16" ht="24.95" customHeight="1">
      <c r="A56" s="21">
        <v>45721</v>
      </c>
      <c r="B56" s="20" t="s">
        <v>2</v>
      </c>
      <c r="C56" s="20" t="s">
        <v>60</v>
      </c>
      <c r="D56" s="22">
        <v>11</v>
      </c>
      <c r="E56" s="22">
        <v>15000</v>
      </c>
      <c r="F56" s="22">
        <f t="shared" si="0"/>
        <v>165000</v>
      </c>
      <c r="G56" s="22">
        <v>118800</v>
      </c>
      <c r="H56" s="22">
        <f t="shared" si="1"/>
        <v>46200</v>
      </c>
      <c r="I56" s="20" t="s">
        <v>242</v>
      </c>
      <c r="J56" s="20" t="str">
        <f>TEXT(SalesHistory[[#This Row],[日付]],"yyyy-mm")</f>
        <v>2025-03</v>
      </c>
      <c r="K56" s="35">
        <f>YEAR(SalesHistory[[#This Row],[日付]])</f>
        <v>2025</v>
      </c>
      <c r="L56" s="35">
        <f>MONTH(SalesHistory[[#This Row],[日付]])</f>
        <v>3</v>
      </c>
    </row>
    <row r="57" spans="1:16" ht="24.95" customHeight="1">
      <c r="A57" s="21">
        <v>45731</v>
      </c>
      <c r="B57" s="20" t="s">
        <v>2</v>
      </c>
      <c r="C57" s="20" t="s">
        <v>60</v>
      </c>
      <c r="D57" s="22">
        <v>16</v>
      </c>
      <c r="E57" s="22">
        <v>15000</v>
      </c>
      <c r="F57" s="22">
        <f t="shared" si="0"/>
        <v>240000</v>
      </c>
      <c r="G57" s="22">
        <v>172800</v>
      </c>
      <c r="H57" s="22">
        <f t="shared" si="1"/>
        <v>67200</v>
      </c>
      <c r="I57" s="20" t="s">
        <v>242</v>
      </c>
      <c r="J57" s="20" t="str">
        <f>TEXT(SalesHistory[[#This Row],[日付]],"yyyy-mm")</f>
        <v>2025-03</v>
      </c>
      <c r="K57" s="35">
        <f>YEAR(SalesHistory[[#This Row],[日付]])</f>
        <v>2025</v>
      </c>
      <c r="L57" s="35">
        <f>MONTH(SalesHistory[[#This Row],[日付]])</f>
        <v>3</v>
      </c>
    </row>
    <row r="58" spans="1:16" ht="24.95" customHeight="1">
      <c r="A58" s="21">
        <v>45741</v>
      </c>
      <c r="B58" s="20" t="s">
        <v>2</v>
      </c>
      <c r="C58" s="20" t="s">
        <v>60</v>
      </c>
      <c r="D58" s="22">
        <v>4</v>
      </c>
      <c r="E58" s="22">
        <v>15000</v>
      </c>
      <c r="F58" s="22">
        <f t="shared" si="0"/>
        <v>60000</v>
      </c>
      <c r="G58" s="22">
        <v>43200</v>
      </c>
      <c r="H58" s="22">
        <f t="shared" si="1"/>
        <v>16800</v>
      </c>
      <c r="I58" s="20" t="s">
        <v>242</v>
      </c>
      <c r="J58" s="20" t="str">
        <f>TEXT(SalesHistory[[#This Row],[日付]],"yyyy-mm")</f>
        <v>2025-03</v>
      </c>
      <c r="K58" s="35">
        <f>YEAR(SalesHistory[[#This Row],[日付]])</f>
        <v>2025</v>
      </c>
      <c r="L58" s="35">
        <f>MONTH(SalesHistory[[#This Row],[日付]])</f>
        <v>3</v>
      </c>
    </row>
    <row r="59" spans="1:16" ht="24.95" customHeight="1">
      <c r="A59" s="21">
        <v>45721</v>
      </c>
      <c r="B59" s="20" t="s">
        <v>2</v>
      </c>
      <c r="C59" s="20" t="s">
        <v>231</v>
      </c>
      <c r="D59" s="22">
        <v>14</v>
      </c>
      <c r="E59" s="22">
        <v>35000</v>
      </c>
      <c r="F59" s="22">
        <f t="shared" si="0"/>
        <v>490000</v>
      </c>
      <c r="G59" s="22">
        <v>235200</v>
      </c>
      <c r="H59" s="22">
        <f t="shared" si="1"/>
        <v>254800</v>
      </c>
      <c r="I59" s="20" t="s">
        <v>242</v>
      </c>
      <c r="J59" s="20" t="str">
        <f>TEXT(SalesHistory[[#This Row],[日付]],"yyyy-mm")</f>
        <v>2025-03</v>
      </c>
      <c r="K59" s="35">
        <f>YEAR(SalesHistory[[#This Row],[日付]])</f>
        <v>2025</v>
      </c>
      <c r="L59" s="35">
        <f>MONTH(SalesHistory[[#This Row],[日付]])</f>
        <v>3</v>
      </c>
    </row>
    <row r="60" spans="1:16" ht="24.95" customHeight="1">
      <c r="A60" s="21">
        <v>45731</v>
      </c>
      <c r="B60" s="20" t="s">
        <v>2</v>
      </c>
      <c r="C60" s="20" t="s">
        <v>231</v>
      </c>
      <c r="D60" s="22">
        <v>2</v>
      </c>
      <c r="E60" s="22">
        <v>35000</v>
      </c>
      <c r="F60" s="22">
        <f t="shared" si="0"/>
        <v>70000</v>
      </c>
      <c r="G60" s="22">
        <v>33600</v>
      </c>
      <c r="H60" s="22">
        <f t="shared" si="1"/>
        <v>36400</v>
      </c>
      <c r="I60" s="20" t="s">
        <v>242</v>
      </c>
      <c r="J60" s="20" t="str">
        <f>TEXT(SalesHistory[[#This Row],[日付]],"yyyy-mm")</f>
        <v>2025-03</v>
      </c>
      <c r="K60" s="35">
        <f>YEAR(SalesHistory[[#This Row],[日付]])</f>
        <v>2025</v>
      </c>
      <c r="L60" s="35">
        <f>MONTH(SalesHistory[[#This Row],[日付]])</f>
        <v>3</v>
      </c>
    </row>
    <row r="61" spans="1:16" ht="24.95" customHeight="1">
      <c r="A61" s="21">
        <v>45741</v>
      </c>
      <c r="B61" s="20" t="s">
        <v>2</v>
      </c>
      <c r="C61" s="20" t="s">
        <v>231</v>
      </c>
      <c r="D61" s="22">
        <v>7</v>
      </c>
      <c r="E61" s="22">
        <v>35000</v>
      </c>
      <c r="F61" s="22">
        <f t="shared" si="0"/>
        <v>245000</v>
      </c>
      <c r="G61" s="22">
        <v>117600</v>
      </c>
      <c r="H61" s="22">
        <f t="shared" si="1"/>
        <v>127400</v>
      </c>
      <c r="I61" s="20" t="s">
        <v>242</v>
      </c>
      <c r="J61" s="20" t="str">
        <f>TEXT(SalesHistory[[#This Row],[日付]],"yyyy-mm")</f>
        <v>2025-03</v>
      </c>
      <c r="K61" s="35">
        <f>YEAR(SalesHistory[[#This Row],[日付]])</f>
        <v>2025</v>
      </c>
      <c r="L61" s="35">
        <f>MONTH(SalesHistory[[#This Row],[日付]])</f>
        <v>3</v>
      </c>
    </row>
    <row r="62" spans="1:16" ht="24.95" customHeight="1">
      <c r="A62" s="21">
        <v>45721</v>
      </c>
      <c r="B62" s="20" t="s">
        <v>2</v>
      </c>
      <c r="C62" s="20" t="s">
        <v>232</v>
      </c>
      <c r="D62" s="22">
        <v>17</v>
      </c>
      <c r="E62" s="22">
        <v>2500</v>
      </c>
      <c r="F62" s="22">
        <f t="shared" si="0"/>
        <v>42500</v>
      </c>
      <c r="G62" s="22">
        <v>22950</v>
      </c>
      <c r="H62" s="22">
        <f t="shared" si="1"/>
        <v>19550</v>
      </c>
      <c r="I62" s="20" t="s">
        <v>242</v>
      </c>
      <c r="J62" s="20" t="str">
        <f>TEXT(SalesHistory[[#This Row],[日付]],"yyyy-mm")</f>
        <v>2025-03</v>
      </c>
      <c r="K62" s="35">
        <f>YEAR(SalesHistory[[#This Row],[日付]])</f>
        <v>2025</v>
      </c>
      <c r="L62" s="35">
        <f>MONTH(SalesHistory[[#This Row],[日付]])</f>
        <v>3</v>
      </c>
    </row>
    <row r="63" spans="1:16" ht="24.95" customHeight="1">
      <c r="A63" s="21">
        <v>45731</v>
      </c>
      <c r="B63" s="20" t="s">
        <v>2</v>
      </c>
      <c r="C63" s="20" t="s">
        <v>232</v>
      </c>
      <c r="D63" s="22">
        <v>5</v>
      </c>
      <c r="E63" s="22">
        <v>2500</v>
      </c>
      <c r="F63" s="22">
        <f t="shared" si="0"/>
        <v>12500</v>
      </c>
      <c r="G63" s="22">
        <v>6750</v>
      </c>
      <c r="H63" s="22">
        <f t="shared" si="1"/>
        <v>5750</v>
      </c>
      <c r="I63" s="20" t="s">
        <v>242</v>
      </c>
      <c r="J63" s="20" t="str">
        <f>TEXT(SalesHistory[[#This Row],[日付]],"yyyy-mm")</f>
        <v>2025-03</v>
      </c>
      <c r="K63" s="35">
        <f>YEAR(SalesHistory[[#This Row],[日付]])</f>
        <v>2025</v>
      </c>
      <c r="L63" s="35">
        <f>MONTH(SalesHistory[[#This Row],[日付]])</f>
        <v>3</v>
      </c>
    </row>
    <row r="64" spans="1:16" ht="24.95" customHeight="1">
      <c r="A64" s="21">
        <v>45741</v>
      </c>
      <c r="B64" s="20" t="s">
        <v>2</v>
      </c>
      <c r="C64" s="20" t="s">
        <v>232</v>
      </c>
      <c r="D64" s="22">
        <v>10</v>
      </c>
      <c r="E64" s="22">
        <v>2500</v>
      </c>
      <c r="F64" s="22">
        <f t="shared" si="0"/>
        <v>25000</v>
      </c>
      <c r="G64" s="22">
        <v>13500</v>
      </c>
      <c r="H64" s="22">
        <f t="shared" si="1"/>
        <v>11500</v>
      </c>
      <c r="I64" s="20" t="s">
        <v>242</v>
      </c>
      <c r="J64" s="20" t="str">
        <f>TEXT(SalesHistory[[#This Row],[日付]],"yyyy-mm")</f>
        <v>2025-03</v>
      </c>
      <c r="K64" s="35">
        <f>YEAR(SalesHistory[[#This Row],[日付]])</f>
        <v>2025</v>
      </c>
      <c r="L64" s="35">
        <f>MONTH(SalesHistory[[#This Row],[日付]])</f>
        <v>3</v>
      </c>
    </row>
    <row r="65" spans="1:12" ht="24.95" customHeight="1">
      <c r="A65" s="21">
        <v>45721</v>
      </c>
      <c r="B65" s="20" t="s">
        <v>128</v>
      </c>
      <c r="C65" s="20" t="s">
        <v>148</v>
      </c>
      <c r="D65" s="22">
        <v>21</v>
      </c>
      <c r="E65" s="22">
        <v>2000</v>
      </c>
      <c r="F65" s="22">
        <f t="shared" si="0"/>
        <v>42000</v>
      </c>
      <c r="G65" s="22">
        <v>25200</v>
      </c>
      <c r="H65" s="22">
        <f t="shared" si="1"/>
        <v>16800</v>
      </c>
      <c r="I65" s="20" t="s">
        <v>242</v>
      </c>
      <c r="J65" s="20" t="str">
        <f>TEXT(SalesHistory[[#This Row],[日付]],"yyyy-mm")</f>
        <v>2025-03</v>
      </c>
      <c r="K65" s="35">
        <f>YEAR(SalesHistory[[#This Row],[日付]])</f>
        <v>2025</v>
      </c>
      <c r="L65" s="35">
        <f>MONTH(SalesHistory[[#This Row],[日付]])</f>
        <v>3</v>
      </c>
    </row>
    <row r="66" spans="1:12" ht="24.95" customHeight="1">
      <c r="A66" s="21">
        <v>45731</v>
      </c>
      <c r="B66" s="20" t="s">
        <v>128</v>
      </c>
      <c r="C66" s="20" t="s">
        <v>148</v>
      </c>
      <c r="D66" s="22">
        <v>26</v>
      </c>
      <c r="E66" s="22">
        <v>2000</v>
      </c>
      <c r="F66" s="22">
        <f t="shared" si="0"/>
        <v>52000</v>
      </c>
      <c r="G66" s="22">
        <v>31200</v>
      </c>
      <c r="H66" s="22">
        <f t="shared" si="1"/>
        <v>20800</v>
      </c>
      <c r="I66" s="20" t="s">
        <v>242</v>
      </c>
      <c r="J66" s="20" t="str">
        <f>TEXT(SalesHistory[[#This Row],[日付]],"yyyy-mm")</f>
        <v>2025-03</v>
      </c>
      <c r="K66" s="35">
        <f>YEAR(SalesHistory[[#This Row],[日付]])</f>
        <v>2025</v>
      </c>
      <c r="L66" s="35">
        <f>MONTH(SalesHistory[[#This Row],[日付]])</f>
        <v>3</v>
      </c>
    </row>
    <row r="67" spans="1:12" ht="24.95" customHeight="1">
      <c r="A67" s="21">
        <v>45741</v>
      </c>
      <c r="B67" s="20" t="s">
        <v>128</v>
      </c>
      <c r="C67" s="20" t="s">
        <v>148</v>
      </c>
      <c r="D67" s="22">
        <v>31</v>
      </c>
      <c r="E67" s="22">
        <v>2000</v>
      </c>
      <c r="F67" s="22">
        <f t="shared" si="0"/>
        <v>62000</v>
      </c>
      <c r="G67" s="22">
        <v>37200</v>
      </c>
      <c r="H67" s="22">
        <f t="shared" si="1"/>
        <v>24800</v>
      </c>
      <c r="I67" s="20" t="s">
        <v>242</v>
      </c>
      <c r="J67" s="20" t="str">
        <f>TEXT(SalesHistory[[#This Row],[日付]],"yyyy-mm")</f>
        <v>2025-03</v>
      </c>
      <c r="K67" s="35">
        <f>YEAR(SalesHistory[[#This Row],[日付]])</f>
        <v>2025</v>
      </c>
      <c r="L67" s="35">
        <f>MONTH(SalesHistory[[#This Row],[日付]])</f>
        <v>3</v>
      </c>
    </row>
    <row r="68" spans="1:12" ht="24.95" customHeight="1">
      <c r="A68" s="21">
        <v>45721</v>
      </c>
      <c r="B68" s="20" t="s">
        <v>128</v>
      </c>
      <c r="C68" s="20" t="s">
        <v>233</v>
      </c>
      <c r="D68" s="22">
        <v>24</v>
      </c>
      <c r="E68" s="22">
        <v>1800</v>
      </c>
      <c r="F68" s="22">
        <f t="shared" si="0"/>
        <v>43200</v>
      </c>
      <c r="G68" s="22">
        <v>28512</v>
      </c>
      <c r="H68" s="22">
        <f t="shared" si="1"/>
        <v>14688</v>
      </c>
      <c r="I68" s="20" t="s">
        <v>242</v>
      </c>
      <c r="J68" s="20" t="str">
        <f>TEXT(SalesHistory[[#This Row],[日付]],"yyyy-mm")</f>
        <v>2025-03</v>
      </c>
      <c r="K68" s="35">
        <f>YEAR(SalesHistory[[#This Row],[日付]])</f>
        <v>2025</v>
      </c>
      <c r="L68" s="35">
        <f>MONTH(SalesHistory[[#This Row],[日付]])</f>
        <v>3</v>
      </c>
    </row>
    <row r="69" spans="1:12" ht="24.95" customHeight="1">
      <c r="A69" s="21">
        <v>45731</v>
      </c>
      <c r="B69" s="20" t="s">
        <v>128</v>
      </c>
      <c r="C69" s="20" t="s">
        <v>233</v>
      </c>
      <c r="D69" s="22">
        <v>29</v>
      </c>
      <c r="E69" s="22">
        <v>1800</v>
      </c>
      <c r="F69" s="22">
        <f t="shared" ref="F69:F132" si="2">ROUND(D69*E69,0)</f>
        <v>52200</v>
      </c>
      <c r="G69" s="22">
        <v>34452</v>
      </c>
      <c r="H69" s="22">
        <f t="shared" ref="H69:H132" si="3">F69-G69</f>
        <v>17748</v>
      </c>
      <c r="I69" s="20" t="s">
        <v>242</v>
      </c>
      <c r="J69" s="20" t="str">
        <f>TEXT(SalesHistory[[#This Row],[日付]],"yyyy-mm")</f>
        <v>2025-03</v>
      </c>
      <c r="K69" s="35">
        <f>YEAR(SalesHistory[[#This Row],[日付]])</f>
        <v>2025</v>
      </c>
      <c r="L69" s="35">
        <f>MONTH(SalesHistory[[#This Row],[日付]])</f>
        <v>3</v>
      </c>
    </row>
    <row r="70" spans="1:12" ht="24.95" customHeight="1">
      <c r="A70" s="21">
        <v>45741</v>
      </c>
      <c r="B70" s="20" t="s">
        <v>128</v>
      </c>
      <c r="C70" s="20" t="s">
        <v>233</v>
      </c>
      <c r="D70" s="22">
        <v>34</v>
      </c>
      <c r="E70" s="22">
        <v>1800</v>
      </c>
      <c r="F70" s="22">
        <f t="shared" si="2"/>
        <v>61200</v>
      </c>
      <c r="G70" s="22">
        <v>40392</v>
      </c>
      <c r="H70" s="22">
        <f t="shared" si="3"/>
        <v>20808</v>
      </c>
      <c r="I70" s="20" t="s">
        <v>242</v>
      </c>
      <c r="J70" s="20" t="str">
        <f>TEXT(SalesHistory[[#This Row],[日付]],"yyyy-mm")</f>
        <v>2025-03</v>
      </c>
      <c r="K70" s="35">
        <f>YEAR(SalesHistory[[#This Row],[日付]])</f>
        <v>2025</v>
      </c>
      <c r="L70" s="35">
        <f>MONTH(SalesHistory[[#This Row],[日付]])</f>
        <v>3</v>
      </c>
    </row>
    <row r="71" spans="1:12" ht="24.95" customHeight="1">
      <c r="A71" s="21">
        <v>45721</v>
      </c>
      <c r="B71" s="20" t="s">
        <v>128</v>
      </c>
      <c r="C71" s="20" t="s">
        <v>234</v>
      </c>
      <c r="D71" s="22">
        <v>27</v>
      </c>
      <c r="E71" s="22">
        <v>3200</v>
      </c>
      <c r="F71" s="22">
        <f t="shared" si="2"/>
        <v>86400</v>
      </c>
      <c r="G71" s="22">
        <v>62208</v>
      </c>
      <c r="H71" s="22">
        <f t="shared" si="3"/>
        <v>24192</v>
      </c>
      <c r="I71" s="20" t="s">
        <v>242</v>
      </c>
      <c r="J71" s="20" t="str">
        <f>TEXT(SalesHistory[[#This Row],[日付]],"yyyy-mm")</f>
        <v>2025-03</v>
      </c>
      <c r="K71" s="35">
        <f>YEAR(SalesHistory[[#This Row],[日付]])</f>
        <v>2025</v>
      </c>
      <c r="L71" s="35">
        <f>MONTH(SalesHistory[[#This Row],[日付]])</f>
        <v>3</v>
      </c>
    </row>
    <row r="72" spans="1:12" ht="24.95" customHeight="1">
      <c r="A72" s="21">
        <v>45731</v>
      </c>
      <c r="B72" s="20" t="s">
        <v>128</v>
      </c>
      <c r="C72" s="20" t="s">
        <v>234</v>
      </c>
      <c r="D72" s="22">
        <v>32</v>
      </c>
      <c r="E72" s="22">
        <v>3200</v>
      </c>
      <c r="F72" s="22">
        <f t="shared" si="2"/>
        <v>102400</v>
      </c>
      <c r="G72" s="22">
        <v>73728</v>
      </c>
      <c r="H72" s="22">
        <f t="shared" si="3"/>
        <v>28672</v>
      </c>
      <c r="I72" s="20" t="s">
        <v>242</v>
      </c>
      <c r="J72" s="20" t="str">
        <f>TEXT(SalesHistory[[#This Row],[日付]],"yyyy-mm")</f>
        <v>2025-03</v>
      </c>
      <c r="K72" s="35">
        <f>YEAR(SalesHistory[[#This Row],[日付]])</f>
        <v>2025</v>
      </c>
      <c r="L72" s="35">
        <f>MONTH(SalesHistory[[#This Row],[日付]])</f>
        <v>3</v>
      </c>
    </row>
    <row r="73" spans="1:12" ht="24.95" customHeight="1">
      <c r="A73" s="21">
        <v>45741</v>
      </c>
      <c r="B73" s="20" t="s">
        <v>128</v>
      </c>
      <c r="C73" s="20" t="s">
        <v>234</v>
      </c>
      <c r="D73" s="22">
        <v>20</v>
      </c>
      <c r="E73" s="22">
        <v>3200</v>
      </c>
      <c r="F73" s="22">
        <f t="shared" si="2"/>
        <v>64000</v>
      </c>
      <c r="G73" s="22">
        <v>46080</v>
      </c>
      <c r="H73" s="22">
        <f t="shared" si="3"/>
        <v>17920</v>
      </c>
      <c r="I73" s="20" t="s">
        <v>242</v>
      </c>
      <c r="J73" s="20" t="str">
        <f>TEXT(SalesHistory[[#This Row],[日付]],"yyyy-mm")</f>
        <v>2025-03</v>
      </c>
      <c r="K73" s="35">
        <f>YEAR(SalesHistory[[#This Row],[日付]])</f>
        <v>2025</v>
      </c>
      <c r="L73" s="35">
        <f>MONTH(SalesHistory[[#This Row],[日付]])</f>
        <v>3</v>
      </c>
    </row>
    <row r="74" spans="1:12" ht="24.95" customHeight="1">
      <c r="A74" s="21">
        <v>45721</v>
      </c>
      <c r="B74" s="20" t="s">
        <v>128</v>
      </c>
      <c r="C74" s="20" t="s">
        <v>235</v>
      </c>
      <c r="D74" s="22">
        <v>30</v>
      </c>
      <c r="E74" s="22">
        <v>4000</v>
      </c>
      <c r="F74" s="22">
        <f t="shared" si="2"/>
        <v>120000</v>
      </c>
      <c r="G74" s="22">
        <v>57600</v>
      </c>
      <c r="H74" s="22">
        <f t="shared" si="3"/>
        <v>62400</v>
      </c>
      <c r="I74" s="20" t="s">
        <v>242</v>
      </c>
      <c r="J74" s="20" t="str">
        <f>TEXT(SalesHistory[[#This Row],[日付]],"yyyy-mm")</f>
        <v>2025-03</v>
      </c>
      <c r="K74" s="35">
        <f>YEAR(SalesHistory[[#This Row],[日付]])</f>
        <v>2025</v>
      </c>
      <c r="L74" s="35">
        <f>MONTH(SalesHistory[[#This Row],[日付]])</f>
        <v>3</v>
      </c>
    </row>
    <row r="75" spans="1:12" ht="24.95" customHeight="1">
      <c r="A75" s="21">
        <v>45731</v>
      </c>
      <c r="B75" s="20" t="s">
        <v>128</v>
      </c>
      <c r="C75" s="20" t="s">
        <v>235</v>
      </c>
      <c r="D75" s="22">
        <v>35</v>
      </c>
      <c r="E75" s="22">
        <v>4000</v>
      </c>
      <c r="F75" s="22">
        <f t="shared" si="2"/>
        <v>140000</v>
      </c>
      <c r="G75" s="22">
        <v>67200</v>
      </c>
      <c r="H75" s="22">
        <f t="shared" si="3"/>
        <v>72800</v>
      </c>
      <c r="I75" s="20" t="s">
        <v>242</v>
      </c>
      <c r="J75" s="20" t="str">
        <f>TEXT(SalesHistory[[#This Row],[日付]],"yyyy-mm")</f>
        <v>2025-03</v>
      </c>
      <c r="K75" s="35">
        <f>YEAR(SalesHistory[[#This Row],[日付]])</f>
        <v>2025</v>
      </c>
      <c r="L75" s="35">
        <f>MONTH(SalesHistory[[#This Row],[日付]])</f>
        <v>3</v>
      </c>
    </row>
    <row r="76" spans="1:12" ht="24.95" customHeight="1">
      <c r="A76" s="21">
        <v>45741</v>
      </c>
      <c r="B76" s="20" t="s">
        <v>128</v>
      </c>
      <c r="C76" s="20" t="s">
        <v>235</v>
      </c>
      <c r="D76" s="22">
        <v>23</v>
      </c>
      <c r="E76" s="22">
        <v>4000</v>
      </c>
      <c r="F76" s="22">
        <f t="shared" si="2"/>
        <v>92000</v>
      </c>
      <c r="G76" s="22">
        <v>44160</v>
      </c>
      <c r="H76" s="22">
        <f t="shared" si="3"/>
        <v>47840</v>
      </c>
      <c r="I76" s="20" t="s">
        <v>242</v>
      </c>
      <c r="J76" s="20" t="str">
        <f>TEXT(SalesHistory[[#This Row],[日付]],"yyyy-mm")</f>
        <v>2025-03</v>
      </c>
      <c r="K76" s="35">
        <f>YEAR(SalesHistory[[#This Row],[日付]])</f>
        <v>2025</v>
      </c>
      <c r="L76" s="35">
        <f>MONTH(SalesHistory[[#This Row],[日付]])</f>
        <v>3</v>
      </c>
    </row>
    <row r="77" spans="1:12" ht="24.95" customHeight="1">
      <c r="A77" s="21">
        <v>45752</v>
      </c>
      <c r="B77" s="20" t="s">
        <v>2</v>
      </c>
      <c r="C77" s="20" t="s">
        <v>56</v>
      </c>
      <c r="D77" s="22">
        <v>15</v>
      </c>
      <c r="E77" s="22">
        <v>50000</v>
      </c>
      <c r="F77" s="22">
        <f t="shared" si="2"/>
        <v>750000</v>
      </c>
      <c r="G77" s="22">
        <v>540000</v>
      </c>
      <c r="H77" s="22">
        <f t="shared" si="3"/>
        <v>210000</v>
      </c>
      <c r="I77" s="20" t="s">
        <v>242</v>
      </c>
      <c r="J77" s="20" t="str">
        <f>TEXT(SalesHistory[[#This Row],[日付]],"yyyy-mm")</f>
        <v>2025-04</v>
      </c>
      <c r="K77" s="35">
        <f>YEAR(SalesHistory[[#This Row],[日付]])</f>
        <v>2025</v>
      </c>
      <c r="L77" s="35">
        <f>MONTH(SalesHistory[[#This Row],[日付]])</f>
        <v>4</v>
      </c>
    </row>
    <row r="78" spans="1:12" ht="24.95" customHeight="1">
      <c r="A78" s="21">
        <v>45762</v>
      </c>
      <c r="B78" s="20" t="s">
        <v>2</v>
      </c>
      <c r="C78" s="20" t="s">
        <v>56</v>
      </c>
      <c r="D78" s="22">
        <v>3</v>
      </c>
      <c r="E78" s="22">
        <v>50000</v>
      </c>
      <c r="F78" s="22">
        <f t="shared" si="2"/>
        <v>150000</v>
      </c>
      <c r="G78" s="22">
        <v>108000</v>
      </c>
      <c r="H78" s="22">
        <f t="shared" si="3"/>
        <v>42000</v>
      </c>
      <c r="I78" s="20" t="s">
        <v>242</v>
      </c>
      <c r="J78" s="20" t="str">
        <f>TEXT(SalesHistory[[#This Row],[日付]],"yyyy-mm")</f>
        <v>2025-04</v>
      </c>
      <c r="K78" s="35">
        <f>YEAR(SalesHistory[[#This Row],[日付]])</f>
        <v>2025</v>
      </c>
      <c r="L78" s="35">
        <f>MONTH(SalesHistory[[#This Row],[日付]])</f>
        <v>4</v>
      </c>
    </row>
    <row r="79" spans="1:12" ht="24.95" customHeight="1">
      <c r="A79" s="21">
        <v>45772</v>
      </c>
      <c r="B79" s="20" t="s">
        <v>2</v>
      </c>
      <c r="C79" s="20" t="s">
        <v>56</v>
      </c>
      <c r="D79" s="22">
        <v>8</v>
      </c>
      <c r="E79" s="22">
        <v>50000</v>
      </c>
      <c r="F79" s="22">
        <f t="shared" si="2"/>
        <v>400000</v>
      </c>
      <c r="G79" s="22">
        <v>288000</v>
      </c>
      <c r="H79" s="22">
        <f t="shared" si="3"/>
        <v>112000</v>
      </c>
      <c r="I79" s="20" t="s">
        <v>242</v>
      </c>
      <c r="J79" s="20" t="str">
        <f>TEXT(SalesHistory[[#This Row],[日付]],"yyyy-mm")</f>
        <v>2025-04</v>
      </c>
      <c r="K79" s="35">
        <f>YEAR(SalesHistory[[#This Row],[日付]])</f>
        <v>2025</v>
      </c>
      <c r="L79" s="35">
        <f>MONTH(SalesHistory[[#This Row],[日付]])</f>
        <v>4</v>
      </c>
    </row>
    <row r="80" spans="1:12" ht="24.95" customHeight="1">
      <c r="A80" s="21">
        <v>45752</v>
      </c>
      <c r="B80" s="20" t="s">
        <v>2</v>
      </c>
      <c r="C80" s="20" t="s">
        <v>60</v>
      </c>
      <c r="D80" s="22">
        <v>18</v>
      </c>
      <c r="E80" s="22">
        <v>15000</v>
      </c>
      <c r="F80" s="22">
        <f t="shared" si="2"/>
        <v>270000</v>
      </c>
      <c r="G80" s="22">
        <v>129600</v>
      </c>
      <c r="H80" s="22">
        <f t="shared" si="3"/>
        <v>140400</v>
      </c>
      <c r="I80" s="20" t="s">
        <v>242</v>
      </c>
      <c r="J80" s="20" t="str">
        <f>TEXT(SalesHistory[[#This Row],[日付]],"yyyy-mm")</f>
        <v>2025-04</v>
      </c>
      <c r="K80" s="35">
        <f>YEAR(SalesHistory[[#This Row],[日付]])</f>
        <v>2025</v>
      </c>
      <c r="L80" s="35">
        <f>MONTH(SalesHistory[[#This Row],[日付]])</f>
        <v>4</v>
      </c>
    </row>
    <row r="81" spans="1:12" ht="24.95" customHeight="1">
      <c r="A81" s="21">
        <v>45762</v>
      </c>
      <c r="B81" s="20" t="s">
        <v>2</v>
      </c>
      <c r="C81" s="20" t="s">
        <v>60</v>
      </c>
      <c r="D81" s="22">
        <v>6</v>
      </c>
      <c r="E81" s="22">
        <v>15000</v>
      </c>
      <c r="F81" s="22">
        <f t="shared" si="2"/>
        <v>90000</v>
      </c>
      <c r="G81" s="22">
        <v>43200</v>
      </c>
      <c r="H81" s="22">
        <f t="shared" si="3"/>
        <v>46800</v>
      </c>
      <c r="I81" s="20" t="s">
        <v>242</v>
      </c>
      <c r="J81" s="20" t="str">
        <f>TEXT(SalesHistory[[#This Row],[日付]],"yyyy-mm")</f>
        <v>2025-04</v>
      </c>
      <c r="K81" s="35">
        <f>YEAR(SalesHistory[[#This Row],[日付]])</f>
        <v>2025</v>
      </c>
      <c r="L81" s="35">
        <f>MONTH(SalesHistory[[#This Row],[日付]])</f>
        <v>4</v>
      </c>
    </row>
    <row r="82" spans="1:12" ht="24.95" customHeight="1">
      <c r="A82" s="21">
        <v>45772</v>
      </c>
      <c r="B82" s="20" t="s">
        <v>2</v>
      </c>
      <c r="C82" s="20" t="s">
        <v>60</v>
      </c>
      <c r="D82" s="22">
        <v>11</v>
      </c>
      <c r="E82" s="22">
        <v>15000</v>
      </c>
      <c r="F82" s="22">
        <f t="shared" si="2"/>
        <v>165000</v>
      </c>
      <c r="G82" s="22">
        <v>79200</v>
      </c>
      <c r="H82" s="22">
        <f t="shared" si="3"/>
        <v>85800</v>
      </c>
      <c r="I82" s="20" t="s">
        <v>242</v>
      </c>
      <c r="J82" s="20" t="str">
        <f>TEXT(SalesHistory[[#This Row],[日付]],"yyyy-mm")</f>
        <v>2025-04</v>
      </c>
      <c r="K82" s="35">
        <f>YEAR(SalesHistory[[#This Row],[日付]])</f>
        <v>2025</v>
      </c>
      <c r="L82" s="35">
        <f>MONTH(SalesHistory[[#This Row],[日付]])</f>
        <v>4</v>
      </c>
    </row>
    <row r="83" spans="1:12" ht="24.95" customHeight="1">
      <c r="A83" s="21">
        <v>45752</v>
      </c>
      <c r="B83" s="20" t="s">
        <v>2</v>
      </c>
      <c r="C83" s="20" t="s">
        <v>231</v>
      </c>
      <c r="D83" s="22">
        <v>4</v>
      </c>
      <c r="E83" s="22">
        <v>35000</v>
      </c>
      <c r="F83" s="22">
        <f t="shared" si="2"/>
        <v>140000</v>
      </c>
      <c r="G83" s="22">
        <v>75600</v>
      </c>
      <c r="H83" s="22">
        <f t="shared" si="3"/>
        <v>64400</v>
      </c>
      <c r="I83" s="20" t="s">
        <v>242</v>
      </c>
      <c r="J83" s="20" t="str">
        <f>TEXT(SalesHistory[[#This Row],[日付]],"yyyy-mm")</f>
        <v>2025-04</v>
      </c>
      <c r="K83" s="35">
        <f>YEAR(SalesHistory[[#This Row],[日付]])</f>
        <v>2025</v>
      </c>
      <c r="L83" s="35">
        <f>MONTH(SalesHistory[[#This Row],[日付]])</f>
        <v>4</v>
      </c>
    </row>
    <row r="84" spans="1:12" ht="24.95" customHeight="1">
      <c r="A84" s="21">
        <v>45762</v>
      </c>
      <c r="B84" s="20" t="s">
        <v>2</v>
      </c>
      <c r="C84" s="20" t="s">
        <v>231</v>
      </c>
      <c r="D84" s="22">
        <v>9</v>
      </c>
      <c r="E84" s="22">
        <v>35000</v>
      </c>
      <c r="F84" s="22">
        <f t="shared" si="2"/>
        <v>315000</v>
      </c>
      <c r="G84" s="22">
        <v>170100</v>
      </c>
      <c r="H84" s="22">
        <f t="shared" si="3"/>
        <v>144900</v>
      </c>
      <c r="I84" s="20" t="s">
        <v>242</v>
      </c>
      <c r="J84" s="20" t="str">
        <f>TEXT(SalesHistory[[#This Row],[日付]],"yyyy-mm")</f>
        <v>2025-04</v>
      </c>
      <c r="K84" s="35">
        <f>YEAR(SalesHistory[[#This Row],[日付]])</f>
        <v>2025</v>
      </c>
      <c r="L84" s="35">
        <f>MONTH(SalesHistory[[#This Row],[日付]])</f>
        <v>4</v>
      </c>
    </row>
    <row r="85" spans="1:12" ht="24.95" customHeight="1">
      <c r="A85" s="21">
        <v>45772</v>
      </c>
      <c r="B85" s="20" t="s">
        <v>2</v>
      </c>
      <c r="C85" s="20" t="s">
        <v>231</v>
      </c>
      <c r="D85" s="22">
        <v>14</v>
      </c>
      <c r="E85" s="22">
        <v>35000</v>
      </c>
      <c r="F85" s="22">
        <f t="shared" si="2"/>
        <v>490000</v>
      </c>
      <c r="G85" s="22">
        <v>264600</v>
      </c>
      <c r="H85" s="22">
        <f t="shared" si="3"/>
        <v>225400</v>
      </c>
      <c r="I85" s="20" t="s">
        <v>242</v>
      </c>
      <c r="J85" s="20" t="str">
        <f>TEXT(SalesHistory[[#This Row],[日付]],"yyyy-mm")</f>
        <v>2025-04</v>
      </c>
      <c r="K85" s="35">
        <f>YEAR(SalesHistory[[#This Row],[日付]])</f>
        <v>2025</v>
      </c>
      <c r="L85" s="35">
        <f>MONTH(SalesHistory[[#This Row],[日付]])</f>
        <v>4</v>
      </c>
    </row>
    <row r="86" spans="1:12" ht="24.95" customHeight="1">
      <c r="A86" s="21">
        <v>45752</v>
      </c>
      <c r="B86" s="20" t="s">
        <v>2</v>
      </c>
      <c r="C86" s="20" t="s">
        <v>232</v>
      </c>
      <c r="D86" s="22">
        <v>7</v>
      </c>
      <c r="E86" s="22">
        <v>2500</v>
      </c>
      <c r="F86" s="22">
        <f t="shared" si="2"/>
        <v>17500</v>
      </c>
      <c r="G86" s="22">
        <v>10500</v>
      </c>
      <c r="H86" s="22">
        <f t="shared" si="3"/>
        <v>7000</v>
      </c>
      <c r="I86" s="20" t="s">
        <v>242</v>
      </c>
      <c r="J86" s="20" t="str">
        <f>TEXT(SalesHistory[[#This Row],[日付]],"yyyy-mm")</f>
        <v>2025-04</v>
      </c>
      <c r="K86" s="35">
        <f>YEAR(SalesHistory[[#This Row],[日付]])</f>
        <v>2025</v>
      </c>
      <c r="L86" s="35">
        <f>MONTH(SalesHistory[[#This Row],[日付]])</f>
        <v>4</v>
      </c>
    </row>
    <row r="87" spans="1:12" ht="24.95" customHeight="1">
      <c r="A87" s="21">
        <v>45762</v>
      </c>
      <c r="B87" s="20" t="s">
        <v>2</v>
      </c>
      <c r="C87" s="20" t="s">
        <v>232</v>
      </c>
      <c r="D87" s="22">
        <v>12</v>
      </c>
      <c r="E87" s="22">
        <v>2500</v>
      </c>
      <c r="F87" s="22">
        <f t="shared" si="2"/>
        <v>30000</v>
      </c>
      <c r="G87" s="22">
        <v>18000</v>
      </c>
      <c r="H87" s="22">
        <f t="shared" si="3"/>
        <v>12000</v>
      </c>
      <c r="I87" s="20" t="s">
        <v>242</v>
      </c>
      <c r="J87" s="20" t="str">
        <f>TEXT(SalesHistory[[#This Row],[日付]],"yyyy-mm")</f>
        <v>2025-04</v>
      </c>
      <c r="K87" s="35">
        <f>YEAR(SalesHistory[[#This Row],[日付]])</f>
        <v>2025</v>
      </c>
      <c r="L87" s="35">
        <f>MONTH(SalesHistory[[#This Row],[日付]])</f>
        <v>4</v>
      </c>
    </row>
    <row r="88" spans="1:12" ht="24.95" customHeight="1">
      <c r="A88" s="21">
        <v>45772</v>
      </c>
      <c r="B88" s="20" t="s">
        <v>2</v>
      </c>
      <c r="C88" s="20" t="s">
        <v>232</v>
      </c>
      <c r="D88" s="22">
        <v>17</v>
      </c>
      <c r="E88" s="22">
        <v>2500</v>
      </c>
      <c r="F88" s="22">
        <f t="shared" si="2"/>
        <v>42500</v>
      </c>
      <c r="G88" s="22">
        <v>25500</v>
      </c>
      <c r="H88" s="22">
        <f t="shared" si="3"/>
        <v>17000</v>
      </c>
      <c r="I88" s="20" t="s">
        <v>242</v>
      </c>
      <c r="J88" s="20" t="str">
        <f>TEXT(SalesHistory[[#This Row],[日付]],"yyyy-mm")</f>
        <v>2025-04</v>
      </c>
      <c r="K88" s="35">
        <f>YEAR(SalesHistory[[#This Row],[日付]])</f>
        <v>2025</v>
      </c>
      <c r="L88" s="35">
        <f>MONTH(SalesHistory[[#This Row],[日付]])</f>
        <v>4</v>
      </c>
    </row>
    <row r="89" spans="1:12" ht="24.95" customHeight="1">
      <c r="A89" s="21">
        <v>45752</v>
      </c>
      <c r="B89" s="20" t="s">
        <v>128</v>
      </c>
      <c r="C89" s="20" t="s">
        <v>148</v>
      </c>
      <c r="D89" s="22">
        <v>28</v>
      </c>
      <c r="E89" s="22">
        <v>2000</v>
      </c>
      <c r="F89" s="22">
        <f t="shared" si="2"/>
        <v>56000</v>
      </c>
      <c r="G89" s="22">
        <v>36960</v>
      </c>
      <c r="H89" s="22">
        <f t="shared" si="3"/>
        <v>19040</v>
      </c>
      <c r="I89" s="20" t="s">
        <v>242</v>
      </c>
      <c r="J89" s="20" t="str">
        <f>TEXT(SalesHistory[[#This Row],[日付]],"yyyy-mm")</f>
        <v>2025-04</v>
      </c>
      <c r="K89" s="35">
        <f>YEAR(SalesHistory[[#This Row],[日付]])</f>
        <v>2025</v>
      </c>
      <c r="L89" s="35">
        <f>MONTH(SalesHistory[[#This Row],[日付]])</f>
        <v>4</v>
      </c>
    </row>
    <row r="90" spans="1:12" ht="24.95" customHeight="1">
      <c r="A90" s="21">
        <v>45762</v>
      </c>
      <c r="B90" s="20" t="s">
        <v>128</v>
      </c>
      <c r="C90" s="20" t="s">
        <v>148</v>
      </c>
      <c r="D90" s="22">
        <v>33</v>
      </c>
      <c r="E90" s="22">
        <v>2000</v>
      </c>
      <c r="F90" s="22">
        <f t="shared" si="2"/>
        <v>66000</v>
      </c>
      <c r="G90" s="22">
        <v>43560</v>
      </c>
      <c r="H90" s="22">
        <f t="shared" si="3"/>
        <v>22440</v>
      </c>
      <c r="I90" s="20" t="s">
        <v>242</v>
      </c>
      <c r="J90" s="20" t="str">
        <f>TEXT(SalesHistory[[#This Row],[日付]],"yyyy-mm")</f>
        <v>2025-04</v>
      </c>
      <c r="K90" s="35">
        <f>YEAR(SalesHistory[[#This Row],[日付]])</f>
        <v>2025</v>
      </c>
      <c r="L90" s="35">
        <f>MONTH(SalesHistory[[#This Row],[日付]])</f>
        <v>4</v>
      </c>
    </row>
    <row r="91" spans="1:12" ht="24.95" customHeight="1">
      <c r="A91" s="21">
        <v>45772</v>
      </c>
      <c r="B91" s="20" t="s">
        <v>128</v>
      </c>
      <c r="C91" s="20" t="s">
        <v>148</v>
      </c>
      <c r="D91" s="22">
        <v>21</v>
      </c>
      <c r="E91" s="22">
        <v>2000</v>
      </c>
      <c r="F91" s="22">
        <f t="shared" si="2"/>
        <v>42000</v>
      </c>
      <c r="G91" s="22">
        <v>27720</v>
      </c>
      <c r="H91" s="22">
        <f t="shared" si="3"/>
        <v>14280</v>
      </c>
      <c r="I91" s="20" t="s">
        <v>242</v>
      </c>
      <c r="J91" s="20" t="str">
        <f>TEXT(SalesHistory[[#This Row],[日付]],"yyyy-mm")</f>
        <v>2025-04</v>
      </c>
      <c r="K91" s="35">
        <f>YEAR(SalesHistory[[#This Row],[日付]])</f>
        <v>2025</v>
      </c>
      <c r="L91" s="35">
        <f>MONTH(SalesHistory[[#This Row],[日付]])</f>
        <v>4</v>
      </c>
    </row>
    <row r="92" spans="1:12" ht="24.95" customHeight="1">
      <c r="A92" s="21">
        <v>45752</v>
      </c>
      <c r="B92" s="20" t="s">
        <v>128</v>
      </c>
      <c r="C92" s="20" t="s">
        <v>233</v>
      </c>
      <c r="D92" s="22">
        <v>31</v>
      </c>
      <c r="E92" s="22">
        <v>1800</v>
      </c>
      <c r="F92" s="22">
        <f t="shared" si="2"/>
        <v>55800</v>
      </c>
      <c r="G92" s="22">
        <v>40176</v>
      </c>
      <c r="H92" s="22">
        <f t="shared" si="3"/>
        <v>15624</v>
      </c>
      <c r="I92" s="20" t="s">
        <v>242</v>
      </c>
      <c r="J92" s="20" t="str">
        <f>TEXT(SalesHistory[[#This Row],[日付]],"yyyy-mm")</f>
        <v>2025-04</v>
      </c>
      <c r="K92" s="35">
        <f>YEAR(SalesHistory[[#This Row],[日付]])</f>
        <v>2025</v>
      </c>
      <c r="L92" s="35">
        <f>MONTH(SalesHistory[[#This Row],[日付]])</f>
        <v>4</v>
      </c>
    </row>
    <row r="93" spans="1:12" ht="24.95" customHeight="1">
      <c r="A93" s="21">
        <v>45762</v>
      </c>
      <c r="B93" s="20" t="s">
        <v>128</v>
      </c>
      <c r="C93" s="20" t="s">
        <v>233</v>
      </c>
      <c r="D93" s="22">
        <v>36</v>
      </c>
      <c r="E93" s="22">
        <v>1800</v>
      </c>
      <c r="F93" s="22">
        <f t="shared" si="2"/>
        <v>64800</v>
      </c>
      <c r="G93" s="22">
        <v>46656</v>
      </c>
      <c r="H93" s="22">
        <f t="shared" si="3"/>
        <v>18144</v>
      </c>
      <c r="I93" s="20" t="s">
        <v>242</v>
      </c>
      <c r="J93" s="20" t="str">
        <f>TEXT(SalesHistory[[#This Row],[日付]],"yyyy-mm")</f>
        <v>2025-04</v>
      </c>
      <c r="K93" s="35">
        <f>YEAR(SalesHistory[[#This Row],[日付]])</f>
        <v>2025</v>
      </c>
      <c r="L93" s="35">
        <f>MONTH(SalesHistory[[#This Row],[日付]])</f>
        <v>4</v>
      </c>
    </row>
    <row r="94" spans="1:12" ht="24.95" customHeight="1">
      <c r="A94" s="21">
        <v>45772</v>
      </c>
      <c r="B94" s="20" t="s">
        <v>128</v>
      </c>
      <c r="C94" s="20" t="s">
        <v>233</v>
      </c>
      <c r="D94" s="22">
        <v>24</v>
      </c>
      <c r="E94" s="22">
        <v>1800</v>
      </c>
      <c r="F94" s="22">
        <f t="shared" si="2"/>
        <v>43200</v>
      </c>
      <c r="G94" s="22">
        <v>31104</v>
      </c>
      <c r="H94" s="22">
        <f t="shared" si="3"/>
        <v>12096</v>
      </c>
      <c r="I94" s="20" t="s">
        <v>242</v>
      </c>
      <c r="J94" s="20" t="str">
        <f>TEXT(SalesHistory[[#This Row],[日付]],"yyyy-mm")</f>
        <v>2025-04</v>
      </c>
      <c r="K94" s="35">
        <f>YEAR(SalesHistory[[#This Row],[日付]])</f>
        <v>2025</v>
      </c>
      <c r="L94" s="35">
        <f>MONTH(SalesHistory[[#This Row],[日付]])</f>
        <v>4</v>
      </c>
    </row>
    <row r="95" spans="1:12" ht="24.95" customHeight="1">
      <c r="A95" s="21">
        <v>45752</v>
      </c>
      <c r="B95" s="20" t="s">
        <v>128</v>
      </c>
      <c r="C95" s="20" t="s">
        <v>234</v>
      </c>
      <c r="D95" s="22">
        <v>34</v>
      </c>
      <c r="E95" s="22">
        <v>3200</v>
      </c>
      <c r="F95" s="22">
        <f t="shared" si="2"/>
        <v>108800</v>
      </c>
      <c r="G95" s="22">
        <v>52224</v>
      </c>
      <c r="H95" s="22">
        <f t="shared" si="3"/>
        <v>56576</v>
      </c>
      <c r="I95" s="20" t="s">
        <v>242</v>
      </c>
      <c r="J95" s="20" t="str">
        <f>TEXT(SalesHistory[[#This Row],[日付]],"yyyy-mm")</f>
        <v>2025-04</v>
      </c>
      <c r="K95" s="35">
        <f>YEAR(SalesHistory[[#This Row],[日付]])</f>
        <v>2025</v>
      </c>
      <c r="L95" s="35">
        <f>MONTH(SalesHistory[[#This Row],[日付]])</f>
        <v>4</v>
      </c>
    </row>
    <row r="96" spans="1:12" ht="24.95" customHeight="1">
      <c r="A96" s="21">
        <v>45762</v>
      </c>
      <c r="B96" s="20" t="s">
        <v>128</v>
      </c>
      <c r="C96" s="20" t="s">
        <v>234</v>
      </c>
      <c r="D96" s="22">
        <v>22</v>
      </c>
      <c r="E96" s="22">
        <v>3200</v>
      </c>
      <c r="F96" s="22">
        <f t="shared" si="2"/>
        <v>70400</v>
      </c>
      <c r="G96" s="22">
        <v>33792</v>
      </c>
      <c r="H96" s="22">
        <f t="shared" si="3"/>
        <v>36608</v>
      </c>
      <c r="I96" s="20" t="s">
        <v>242</v>
      </c>
      <c r="J96" s="20" t="str">
        <f>TEXT(SalesHistory[[#This Row],[日付]],"yyyy-mm")</f>
        <v>2025-04</v>
      </c>
      <c r="K96" s="35">
        <f>YEAR(SalesHistory[[#This Row],[日付]])</f>
        <v>2025</v>
      </c>
      <c r="L96" s="35">
        <f>MONTH(SalesHistory[[#This Row],[日付]])</f>
        <v>4</v>
      </c>
    </row>
    <row r="97" spans="1:12" ht="24.95" customHeight="1">
      <c r="A97" s="21">
        <v>45772</v>
      </c>
      <c r="B97" s="20" t="s">
        <v>128</v>
      </c>
      <c r="C97" s="20" t="s">
        <v>234</v>
      </c>
      <c r="D97" s="22">
        <v>27</v>
      </c>
      <c r="E97" s="22">
        <v>3200</v>
      </c>
      <c r="F97" s="22">
        <f t="shared" si="2"/>
        <v>86400</v>
      </c>
      <c r="G97" s="22">
        <v>41472</v>
      </c>
      <c r="H97" s="22">
        <f t="shared" si="3"/>
        <v>44928</v>
      </c>
      <c r="I97" s="20" t="s">
        <v>242</v>
      </c>
      <c r="J97" s="20" t="str">
        <f>TEXT(SalesHistory[[#This Row],[日付]],"yyyy-mm")</f>
        <v>2025-04</v>
      </c>
      <c r="K97" s="35">
        <f>YEAR(SalesHistory[[#This Row],[日付]])</f>
        <v>2025</v>
      </c>
      <c r="L97" s="35">
        <f>MONTH(SalesHistory[[#This Row],[日付]])</f>
        <v>4</v>
      </c>
    </row>
    <row r="98" spans="1:12" ht="24.95" customHeight="1">
      <c r="A98" s="21">
        <v>45752</v>
      </c>
      <c r="B98" s="20" t="s">
        <v>128</v>
      </c>
      <c r="C98" s="20" t="s">
        <v>235</v>
      </c>
      <c r="D98" s="22">
        <v>20</v>
      </c>
      <c r="E98" s="22">
        <v>4000</v>
      </c>
      <c r="F98" s="22">
        <f t="shared" si="2"/>
        <v>80000</v>
      </c>
      <c r="G98" s="22">
        <v>43200</v>
      </c>
      <c r="H98" s="22">
        <f t="shared" si="3"/>
        <v>36800</v>
      </c>
      <c r="I98" s="20" t="s">
        <v>242</v>
      </c>
      <c r="J98" s="20" t="str">
        <f>TEXT(SalesHistory[[#This Row],[日付]],"yyyy-mm")</f>
        <v>2025-04</v>
      </c>
      <c r="K98" s="35">
        <f>YEAR(SalesHistory[[#This Row],[日付]])</f>
        <v>2025</v>
      </c>
      <c r="L98" s="35">
        <f>MONTH(SalesHistory[[#This Row],[日付]])</f>
        <v>4</v>
      </c>
    </row>
    <row r="99" spans="1:12" ht="24.95" customHeight="1">
      <c r="A99" s="21">
        <v>45762</v>
      </c>
      <c r="B99" s="20" t="s">
        <v>128</v>
      </c>
      <c r="C99" s="20" t="s">
        <v>235</v>
      </c>
      <c r="D99" s="22">
        <v>25</v>
      </c>
      <c r="E99" s="22">
        <v>4000</v>
      </c>
      <c r="F99" s="22">
        <f t="shared" si="2"/>
        <v>100000</v>
      </c>
      <c r="G99" s="22">
        <v>54000</v>
      </c>
      <c r="H99" s="22">
        <f t="shared" si="3"/>
        <v>46000</v>
      </c>
      <c r="I99" s="20" t="s">
        <v>242</v>
      </c>
      <c r="J99" s="20" t="str">
        <f>TEXT(SalesHistory[[#This Row],[日付]],"yyyy-mm")</f>
        <v>2025-04</v>
      </c>
      <c r="K99" s="35">
        <f>YEAR(SalesHistory[[#This Row],[日付]])</f>
        <v>2025</v>
      </c>
      <c r="L99" s="35">
        <f>MONTH(SalesHistory[[#This Row],[日付]])</f>
        <v>4</v>
      </c>
    </row>
    <row r="100" spans="1:12" ht="24.95" customHeight="1">
      <c r="A100" s="21">
        <v>45772</v>
      </c>
      <c r="B100" s="20" t="s">
        <v>128</v>
      </c>
      <c r="C100" s="20" t="s">
        <v>235</v>
      </c>
      <c r="D100" s="22">
        <v>30</v>
      </c>
      <c r="E100" s="22">
        <v>4000</v>
      </c>
      <c r="F100" s="22">
        <f t="shared" si="2"/>
        <v>120000</v>
      </c>
      <c r="G100" s="22">
        <v>64800</v>
      </c>
      <c r="H100" s="22">
        <f t="shared" si="3"/>
        <v>55200</v>
      </c>
      <c r="I100" s="20" t="s">
        <v>242</v>
      </c>
      <c r="J100" s="20" t="str">
        <f>TEXT(SalesHistory[[#This Row],[日付]],"yyyy-mm")</f>
        <v>2025-04</v>
      </c>
      <c r="K100" s="35">
        <f>YEAR(SalesHistory[[#This Row],[日付]])</f>
        <v>2025</v>
      </c>
      <c r="L100" s="35">
        <f>MONTH(SalesHistory[[#This Row],[日付]])</f>
        <v>4</v>
      </c>
    </row>
    <row r="101" spans="1:12" ht="24.95" customHeight="1">
      <c r="A101" s="21">
        <v>45782</v>
      </c>
      <c r="B101" s="20" t="s">
        <v>2</v>
      </c>
      <c r="C101" s="20" t="s">
        <v>56</v>
      </c>
      <c r="D101" s="22">
        <v>5</v>
      </c>
      <c r="E101" s="22">
        <v>50000</v>
      </c>
      <c r="F101" s="22">
        <f t="shared" si="2"/>
        <v>250000</v>
      </c>
      <c r="G101" s="22">
        <v>120000</v>
      </c>
      <c r="H101" s="22">
        <f t="shared" si="3"/>
        <v>130000</v>
      </c>
      <c r="I101" s="20" t="s">
        <v>242</v>
      </c>
      <c r="J101" s="20" t="str">
        <f>TEXT(SalesHistory[[#This Row],[日付]],"yyyy-mm")</f>
        <v>2025-05</v>
      </c>
      <c r="K101" s="35">
        <f>YEAR(SalesHistory[[#This Row],[日付]])</f>
        <v>2025</v>
      </c>
      <c r="L101" s="35">
        <f>MONTH(SalesHistory[[#This Row],[日付]])</f>
        <v>5</v>
      </c>
    </row>
    <row r="102" spans="1:12" ht="24.95" customHeight="1">
      <c r="A102" s="21">
        <v>45792</v>
      </c>
      <c r="B102" s="20" t="s">
        <v>2</v>
      </c>
      <c r="C102" s="20" t="s">
        <v>56</v>
      </c>
      <c r="D102" s="22">
        <v>10</v>
      </c>
      <c r="E102" s="22">
        <v>50000</v>
      </c>
      <c r="F102" s="22">
        <f t="shared" si="2"/>
        <v>500000</v>
      </c>
      <c r="G102" s="22">
        <v>240000</v>
      </c>
      <c r="H102" s="22">
        <f t="shared" si="3"/>
        <v>260000</v>
      </c>
      <c r="I102" s="20" t="s">
        <v>242</v>
      </c>
      <c r="J102" s="20" t="str">
        <f>TEXT(SalesHistory[[#This Row],[日付]],"yyyy-mm")</f>
        <v>2025-05</v>
      </c>
      <c r="K102" s="35">
        <f>YEAR(SalesHistory[[#This Row],[日付]])</f>
        <v>2025</v>
      </c>
      <c r="L102" s="35">
        <f>MONTH(SalesHistory[[#This Row],[日付]])</f>
        <v>5</v>
      </c>
    </row>
    <row r="103" spans="1:12" ht="24.95" customHeight="1">
      <c r="A103" s="21">
        <v>45802</v>
      </c>
      <c r="B103" s="20" t="s">
        <v>2</v>
      </c>
      <c r="C103" s="20" t="s">
        <v>56</v>
      </c>
      <c r="D103" s="22">
        <v>15</v>
      </c>
      <c r="E103" s="22">
        <v>50000</v>
      </c>
      <c r="F103" s="22">
        <f t="shared" si="2"/>
        <v>750000</v>
      </c>
      <c r="G103" s="22">
        <v>360000</v>
      </c>
      <c r="H103" s="22">
        <f t="shared" si="3"/>
        <v>390000</v>
      </c>
      <c r="I103" s="20" t="s">
        <v>242</v>
      </c>
      <c r="J103" s="20" t="str">
        <f>TEXT(SalesHistory[[#This Row],[日付]],"yyyy-mm")</f>
        <v>2025-05</v>
      </c>
      <c r="K103" s="35">
        <f>YEAR(SalesHistory[[#This Row],[日付]])</f>
        <v>2025</v>
      </c>
      <c r="L103" s="35">
        <f>MONTH(SalesHistory[[#This Row],[日付]])</f>
        <v>5</v>
      </c>
    </row>
    <row r="104" spans="1:12" ht="24.95" customHeight="1">
      <c r="A104" s="21">
        <v>45782</v>
      </c>
      <c r="B104" s="20" t="s">
        <v>2</v>
      </c>
      <c r="C104" s="20" t="s">
        <v>60</v>
      </c>
      <c r="D104" s="22">
        <v>8</v>
      </c>
      <c r="E104" s="22">
        <v>15000</v>
      </c>
      <c r="F104" s="22">
        <f t="shared" si="2"/>
        <v>120000</v>
      </c>
      <c r="G104" s="22">
        <v>64800</v>
      </c>
      <c r="H104" s="22">
        <f t="shared" si="3"/>
        <v>55200</v>
      </c>
      <c r="I104" s="20" t="s">
        <v>242</v>
      </c>
      <c r="J104" s="20" t="str">
        <f>TEXT(SalesHistory[[#This Row],[日付]],"yyyy-mm")</f>
        <v>2025-05</v>
      </c>
      <c r="K104" s="35">
        <f>YEAR(SalesHistory[[#This Row],[日付]])</f>
        <v>2025</v>
      </c>
      <c r="L104" s="35">
        <f>MONTH(SalesHistory[[#This Row],[日付]])</f>
        <v>5</v>
      </c>
    </row>
    <row r="105" spans="1:12" ht="24.95" customHeight="1">
      <c r="A105" s="21">
        <v>45792</v>
      </c>
      <c r="B105" s="20" t="s">
        <v>2</v>
      </c>
      <c r="C105" s="20" t="s">
        <v>60</v>
      </c>
      <c r="D105" s="22">
        <v>13</v>
      </c>
      <c r="E105" s="22">
        <v>15000</v>
      </c>
      <c r="F105" s="22">
        <f t="shared" si="2"/>
        <v>195000</v>
      </c>
      <c r="G105" s="22">
        <v>105300</v>
      </c>
      <c r="H105" s="22">
        <f t="shared" si="3"/>
        <v>89700</v>
      </c>
      <c r="I105" s="20" t="s">
        <v>242</v>
      </c>
      <c r="J105" s="20" t="str">
        <f>TEXT(SalesHistory[[#This Row],[日付]],"yyyy-mm")</f>
        <v>2025-05</v>
      </c>
      <c r="K105" s="35">
        <f>YEAR(SalesHistory[[#This Row],[日付]])</f>
        <v>2025</v>
      </c>
      <c r="L105" s="35">
        <f>MONTH(SalesHistory[[#This Row],[日付]])</f>
        <v>5</v>
      </c>
    </row>
    <row r="106" spans="1:12" ht="24.95" customHeight="1">
      <c r="A106" s="21">
        <v>45802</v>
      </c>
      <c r="B106" s="20" t="s">
        <v>2</v>
      </c>
      <c r="C106" s="20" t="s">
        <v>60</v>
      </c>
      <c r="D106" s="22">
        <v>18</v>
      </c>
      <c r="E106" s="22">
        <v>15000</v>
      </c>
      <c r="F106" s="22">
        <f t="shared" si="2"/>
        <v>270000</v>
      </c>
      <c r="G106" s="22">
        <v>145800</v>
      </c>
      <c r="H106" s="22">
        <f t="shared" si="3"/>
        <v>124200</v>
      </c>
      <c r="I106" s="20" t="s">
        <v>242</v>
      </c>
      <c r="J106" s="20" t="str">
        <f>TEXT(SalesHistory[[#This Row],[日付]],"yyyy-mm")</f>
        <v>2025-05</v>
      </c>
      <c r="K106" s="35">
        <f>YEAR(SalesHistory[[#This Row],[日付]])</f>
        <v>2025</v>
      </c>
      <c r="L106" s="35">
        <f>MONTH(SalesHistory[[#This Row],[日付]])</f>
        <v>5</v>
      </c>
    </row>
    <row r="107" spans="1:12" ht="24.95" customHeight="1">
      <c r="A107" s="21">
        <v>45782</v>
      </c>
      <c r="B107" s="20" t="s">
        <v>2</v>
      </c>
      <c r="C107" s="20" t="s">
        <v>231</v>
      </c>
      <c r="D107" s="22">
        <v>11</v>
      </c>
      <c r="E107" s="22">
        <v>35000</v>
      </c>
      <c r="F107" s="22">
        <f t="shared" si="2"/>
        <v>385000</v>
      </c>
      <c r="G107" s="22">
        <v>231000</v>
      </c>
      <c r="H107" s="22">
        <f t="shared" si="3"/>
        <v>154000</v>
      </c>
      <c r="I107" s="20" t="s">
        <v>242</v>
      </c>
      <c r="J107" s="20" t="str">
        <f>TEXT(SalesHistory[[#This Row],[日付]],"yyyy-mm")</f>
        <v>2025-05</v>
      </c>
      <c r="K107" s="35">
        <f>YEAR(SalesHistory[[#This Row],[日付]])</f>
        <v>2025</v>
      </c>
      <c r="L107" s="35">
        <f>MONTH(SalesHistory[[#This Row],[日付]])</f>
        <v>5</v>
      </c>
    </row>
    <row r="108" spans="1:12" ht="24.95" customHeight="1">
      <c r="A108" s="21">
        <v>45792</v>
      </c>
      <c r="B108" s="20" t="s">
        <v>2</v>
      </c>
      <c r="C108" s="20" t="s">
        <v>231</v>
      </c>
      <c r="D108" s="22">
        <v>16</v>
      </c>
      <c r="E108" s="22">
        <v>35000</v>
      </c>
      <c r="F108" s="22">
        <f t="shared" si="2"/>
        <v>560000</v>
      </c>
      <c r="G108" s="22">
        <v>336000</v>
      </c>
      <c r="H108" s="22">
        <f t="shared" si="3"/>
        <v>224000</v>
      </c>
      <c r="I108" s="20" t="s">
        <v>242</v>
      </c>
      <c r="J108" s="20" t="str">
        <f>TEXT(SalesHistory[[#This Row],[日付]],"yyyy-mm")</f>
        <v>2025-05</v>
      </c>
      <c r="K108" s="35">
        <f>YEAR(SalesHistory[[#This Row],[日付]])</f>
        <v>2025</v>
      </c>
      <c r="L108" s="35">
        <f>MONTH(SalesHistory[[#This Row],[日付]])</f>
        <v>5</v>
      </c>
    </row>
    <row r="109" spans="1:12" ht="24.95" customHeight="1">
      <c r="A109" s="21">
        <v>45802</v>
      </c>
      <c r="B109" s="20" t="s">
        <v>2</v>
      </c>
      <c r="C109" s="20" t="s">
        <v>231</v>
      </c>
      <c r="D109" s="22">
        <v>4</v>
      </c>
      <c r="E109" s="22">
        <v>35000</v>
      </c>
      <c r="F109" s="22">
        <f t="shared" si="2"/>
        <v>140000</v>
      </c>
      <c r="G109" s="22">
        <v>84000</v>
      </c>
      <c r="H109" s="22">
        <f t="shared" si="3"/>
        <v>56000</v>
      </c>
      <c r="I109" s="20" t="s">
        <v>242</v>
      </c>
      <c r="J109" s="20" t="str">
        <f>TEXT(SalesHistory[[#This Row],[日付]],"yyyy-mm")</f>
        <v>2025-05</v>
      </c>
      <c r="K109" s="35">
        <f>YEAR(SalesHistory[[#This Row],[日付]])</f>
        <v>2025</v>
      </c>
      <c r="L109" s="35">
        <f>MONTH(SalesHistory[[#This Row],[日付]])</f>
        <v>5</v>
      </c>
    </row>
    <row r="110" spans="1:12" ht="24.95" customHeight="1">
      <c r="A110" s="21">
        <v>45782</v>
      </c>
      <c r="B110" s="20" t="s">
        <v>2</v>
      </c>
      <c r="C110" s="20" t="s">
        <v>232</v>
      </c>
      <c r="D110" s="22">
        <v>14</v>
      </c>
      <c r="E110" s="22">
        <v>2500</v>
      </c>
      <c r="F110" s="22">
        <f t="shared" si="2"/>
        <v>35000</v>
      </c>
      <c r="G110" s="22">
        <v>23100</v>
      </c>
      <c r="H110" s="22">
        <f t="shared" si="3"/>
        <v>11900</v>
      </c>
      <c r="I110" s="20" t="s">
        <v>242</v>
      </c>
      <c r="J110" s="20" t="str">
        <f>TEXT(SalesHistory[[#This Row],[日付]],"yyyy-mm")</f>
        <v>2025-05</v>
      </c>
      <c r="K110" s="35">
        <f>YEAR(SalesHistory[[#This Row],[日付]])</f>
        <v>2025</v>
      </c>
      <c r="L110" s="35">
        <f>MONTH(SalesHistory[[#This Row],[日付]])</f>
        <v>5</v>
      </c>
    </row>
    <row r="111" spans="1:12" ht="24.95" customHeight="1">
      <c r="A111" s="21">
        <v>45792</v>
      </c>
      <c r="B111" s="20" t="s">
        <v>2</v>
      </c>
      <c r="C111" s="20" t="s">
        <v>232</v>
      </c>
      <c r="D111" s="22">
        <v>2</v>
      </c>
      <c r="E111" s="22">
        <v>2500</v>
      </c>
      <c r="F111" s="22">
        <f t="shared" si="2"/>
        <v>5000</v>
      </c>
      <c r="G111" s="22">
        <v>3300</v>
      </c>
      <c r="H111" s="22">
        <f t="shared" si="3"/>
        <v>1700</v>
      </c>
      <c r="I111" s="20" t="s">
        <v>242</v>
      </c>
      <c r="J111" s="20" t="str">
        <f>TEXT(SalesHistory[[#This Row],[日付]],"yyyy-mm")</f>
        <v>2025-05</v>
      </c>
      <c r="K111" s="35">
        <f>YEAR(SalesHistory[[#This Row],[日付]])</f>
        <v>2025</v>
      </c>
      <c r="L111" s="35">
        <f>MONTH(SalesHistory[[#This Row],[日付]])</f>
        <v>5</v>
      </c>
    </row>
    <row r="112" spans="1:12" ht="24.95" customHeight="1">
      <c r="A112" s="21">
        <v>45802</v>
      </c>
      <c r="B112" s="20" t="s">
        <v>2</v>
      </c>
      <c r="C112" s="20" t="s">
        <v>232</v>
      </c>
      <c r="D112" s="22">
        <v>7</v>
      </c>
      <c r="E112" s="22">
        <v>2500</v>
      </c>
      <c r="F112" s="22">
        <f t="shared" si="2"/>
        <v>17500</v>
      </c>
      <c r="G112" s="22">
        <v>11550</v>
      </c>
      <c r="H112" s="22">
        <f t="shared" si="3"/>
        <v>5950</v>
      </c>
      <c r="I112" s="20" t="s">
        <v>242</v>
      </c>
      <c r="J112" s="20" t="str">
        <f>TEXT(SalesHistory[[#This Row],[日付]],"yyyy-mm")</f>
        <v>2025-05</v>
      </c>
      <c r="K112" s="35">
        <f>YEAR(SalesHistory[[#This Row],[日付]])</f>
        <v>2025</v>
      </c>
      <c r="L112" s="35">
        <f>MONTH(SalesHistory[[#This Row],[日付]])</f>
        <v>5</v>
      </c>
    </row>
    <row r="113" spans="1:12" ht="24.95" customHeight="1">
      <c r="A113" s="21">
        <v>45782</v>
      </c>
      <c r="B113" s="20" t="s">
        <v>128</v>
      </c>
      <c r="C113" s="20" t="s">
        <v>148</v>
      </c>
      <c r="D113" s="22">
        <v>35</v>
      </c>
      <c r="E113" s="22">
        <v>2000</v>
      </c>
      <c r="F113" s="22">
        <f t="shared" si="2"/>
        <v>70000</v>
      </c>
      <c r="G113" s="22">
        <v>50400</v>
      </c>
      <c r="H113" s="22">
        <f t="shared" si="3"/>
        <v>19600</v>
      </c>
      <c r="I113" s="20" t="s">
        <v>242</v>
      </c>
      <c r="J113" s="20" t="str">
        <f>TEXT(SalesHistory[[#This Row],[日付]],"yyyy-mm")</f>
        <v>2025-05</v>
      </c>
      <c r="K113" s="35">
        <f>YEAR(SalesHistory[[#This Row],[日付]])</f>
        <v>2025</v>
      </c>
      <c r="L113" s="35">
        <f>MONTH(SalesHistory[[#This Row],[日付]])</f>
        <v>5</v>
      </c>
    </row>
    <row r="114" spans="1:12" ht="24.95" customHeight="1">
      <c r="A114" s="21">
        <v>45792</v>
      </c>
      <c r="B114" s="20" t="s">
        <v>128</v>
      </c>
      <c r="C114" s="20" t="s">
        <v>148</v>
      </c>
      <c r="D114" s="22">
        <v>23</v>
      </c>
      <c r="E114" s="22">
        <v>2000</v>
      </c>
      <c r="F114" s="22">
        <f t="shared" si="2"/>
        <v>46000</v>
      </c>
      <c r="G114" s="22">
        <v>33120</v>
      </c>
      <c r="H114" s="22">
        <f t="shared" si="3"/>
        <v>12880</v>
      </c>
      <c r="I114" s="20" t="s">
        <v>242</v>
      </c>
      <c r="J114" s="20" t="str">
        <f>TEXT(SalesHistory[[#This Row],[日付]],"yyyy-mm")</f>
        <v>2025-05</v>
      </c>
      <c r="K114" s="35">
        <f>YEAR(SalesHistory[[#This Row],[日付]])</f>
        <v>2025</v>
      </c>
      <c r="L114" s="35">
        <f>MONTH(SalesHistory[[#This Row],[日付]])</f>
        <v>5</v>
      </c>
    </row>
    <row r="115" spans="1:12" ht="24.95" customHeight="1">
      <c r="A115" s="21">
        <v>45802</v>
      </c>
      <c r="B115" s="20" t="s">
        <v>128</v>
      </c>
      <c r="C115" s="20" t="s">
        <v>148</v>
      </c>
      <c r="D115" s="22">
        <v>28</v>
      </c>
      <c r="E115" s="22">
        <v>2000</v>
      </c>
      <c r="F115" s="22">
        <f t="shared" si="2"/>
        <v>56000</v>
      </c>
      <c r="G115" s="22">
        <v>40320</v>
      </c>
      <c r="H115" s="22">
        <f t="shared" si="3"/>
        <v>15680</v>
      </c>
      <c r="I115" s="20" t="s">
        <v>242</v>
      </c>
      <c r="J115" s="20" t="str">
        <f>TEXT(SalesHistory[[#This Row],[日付]],"yyyy-mm")</f>
        <v>2025-05</v>
      </c>
      <c r="K115" s="35">
        <f>YEAR(SalesHistory[[#This Row],[日付]])</f>
        <v>2025</v>
      </c>
      <c r="L115" s="35">
        <f>MONTH(SalesHistory[[#This Row],[日付]])</f>
        <v>5</v>
      </c>
    </row>
    <row r="116" spans="1:12" ht="24.95" customHeight="1">
      <c r="A116" s="21">
        <v>45782</v>
      </c>
      <c r="B116" s="20" t="s">
        <v>128</v>
      </c>
      <c r="C116" s="20" t="s">
        <v>233</v>
      </c>
      <c r="D116" s="22">
        <v>21</v>
      </c>
      <c r="E116" s="22">
        <v>1800</v>
      </c>
      <c r="F116" s="22">
        <f t="shared" si="2"/>
        <v>37800</v>
      </c>
      <c r="G116" s="22">
        <v>18144</v>
      </c>
      <c r="H116" s="22">
        <f t="shared" si="3"/>
        <v>19656</v>
      </c>
      <c r="I116" s="20" t="s">
        <v>242</v>
      </c>
      <c r="J116" s="20" t="str">
        <f>TEXT(SalesHistory[[#This Row],[日付]],"yyyy-mm")</f>
        <v>2025-05</v>
      </c>
      <c r="K116" s="35">
        <f>YEAR(SalesHistory[[#This Row],[日付]])</f>
        <v>2025</v>
      </c>
      <c r="L116" s="35">
        <f>MONTH(SalesHistory[[#This Row],[日付]])</f>
        <v>5</v>
      </c>
    </row>
    <row r="117" spans="1:12" ht="24.95" customHeight="1">
      <c r="A117" s="21">
        <v>45792</v>
      </c>
      <c r="B117" s="20" t="s">
        <v>128</v>
      </c>
      <c r="C117" s="20" t="s">
        <v>233</v>
      </c>
      <c r="D117" s="22">
        <v>26</v>
      </c>
      <c r="E117" s="22">
        <v>1800</v>
      </c>
      <c r="F117" s="22">
        <f t="shared" si="2"/>
        <v>46800</v>
      </c>
      <c r="G117" s="22">
        <v>22464</v>
      </c>
      <c r="H117" s="22">
        <f t="shared" si="3"/>
        <v>24336</v>
      </c>
      <c r="I117" s="20" t="s">
        <v>242</v>
      </c>
      <c r="J117" s="20" t="str">
        <f>TEXT(SalesHistory[[#This Row],[日付]],"yyyy-mm")</f>
        <v>2025-05</v>
      </c>
      <c r="K117" s="35">
        <f>YEAR(SalesHistory[[#This Row],[日付]])</f>
        <v>2025</v>
      </c>
      <c r="L117" s="35">
        <f>MONTH(SalesHistory[[#This Row],[日付]])</f>
        <v>5</v>
      </c>
    </row>
    <row r="118" spans="1:12" ht="24.95" customHeight="1">
      <c r="A118" s="21">
        <v>45802</v>
      </c>
      <c r="B118" s="20" t="s">
        <v>128</v>
      </c>
      <c r="C118" s="20" t="s">
        <v>233</v>
      </c>
      <c r="D118" s="22">
        <v>31</v>
      </c>
      <c r="E118" s="22">
        <v>1800</v>
      </c>
      <c r="F118" s="22">
        <f t="shared" si="2"/>
        <v>55800</v>
      </c>
      <c r="G118" s="22">
        <v>26784</v>
      </c>
      <c r="H118" s="22">
        <f t="shared" si="3"/>
        <v>29016</v>
      </c>
      <c r="I118" s="20" t="s">
        <v>242</v>
      </c>
      <c r="J118" s="20" t="str">
        <f>TEXT(SalesHistory[[#This Row],[日付]],"yyyy-mm")</f>
        <v>2025-05</v>
      </c>
      <c r="K118" s="35">
        <f>YEAR(SalesHistory[[#This Row],[日付]])</f>
        <v>2025</v>
      </c>
      <c r="L118" s="35">
        <f>MONTH(SalesHistory[[#This Row],[日付]])</f>
        <v>5</v>
      </c>
    </row>
    <row r="119" spans="1:12" ht="24.95" customHeight="1">
      <c r="A119" s="21">
        <v>45782</v>
      </c>
      <c r="B119" s="20" t="s">
        <v>128</v>
      </c>
      <c r="C119" s="20" t="s">
        <v>234</v>
      </c>
      <c r="D119" s="22">
        <v>24</v>
      </c>
      <c r="E119" s="22">
        <v>3200</v>
      </c>
      <c r="F119" s="22">
        <f t="shared" si="2"/>
        <v>76800</v>
      </c>
      <c r="G119" s="22">
        <v>41472</v>
      </c>
      <c r="H119" s="22">
        <f t="shared" si="3"/>
        <v>35328</v>
      </c>
      <c r="I119" s="20" t="s">
        <v>242</v>
      </c>
      <c r="J119" s="20" t="str">
        <f>TEXT(SalesHistory[[#This Row],[日付]],"yyyy-mm")</f>
        <v>2025-05</v>
      </c>
      <c r="K119" s="35">
        <f>YEAR(SalesHistory[[#This Row],[日付]])</f>
        <v>2025</v>
      </c>
      <c r="L119" s="35">
        <f>MONTH(SalesHistory[[#This Row],[日付]])</f>
        <v>5</v>
      </c>
    </row>
    <row r="120" spans="1:12" ht="24.95" customHeight="1">
      <c r="A120" s="21">
        <v>45792</v>
      </c>
      <c r="B120" s="20" t="s">
        <v>128</v>
      </c>
      <c r="C120" s="20" t="s">
        <v>234</v>
      </c>
      <c r="D120" s="22">
        <v>29</v>
      </c>
      <c r="E120" s="22">
        <v>3200</v>
      </c>
      <c r="F120" s="22">
        <f t="shared" si="2"/>
        <v>92800</v>
      </c>
      <c r="G120" s="22">
        <v>50112</v>
      </c>
      <c r="H120" s="22">
        <f t="shared" si="3"/>
        <v>42688</v>
      </c>
      <c r="I120" s="20" t="s">
        <v>242</v>
      </c>
      <c r="J120" s="20" t="str">
        <f>TEXT(SalesHistory[[#This Row],[日付]],"yyyy-mm")</f>
        <v>2025-05</v>
      </c>
      <c r="K120" s="35">
        <f>YEAR(SalesHistory[[#This Row],[日付]])</f>
        <v>2025</v>
      </c>
      <c r="L120" s="35">
        <f>MONTH(SalesHistory[[#This Row],[日付]])</f>
        <v>5</v>
      </c>
    </row>
    <row r="121" spans="1:12" ht="24.95" customHeight="1">
      <c r="A121" s="21">
        <v>45802</v>
      </c>
      <c r="B121" s="20" t="s">
        <v>128</v>
      </c>
      <c r="C121" s="20" t="s">
        <v>234</v>
      </c>
      <c r="D121" s="22">
        <v>34</v>
      </c>
      <c r="E121" s="22">
        <v>3200</v>
      </c>
      <c r="F121" s="22">
        <f t="shared" si="2"/>
        <v>108800</v>
      </c>
      <c r="G121" s="22">
        <v>58752</v>
      </c>
      <c r="H121" s="22">
        <f t="shared" si="3"/>
        <v>50048</v>
      </c>
      <c r="I121" s="20" t="s">
        <v>242</v>
      </c>
      <c r="J121" s="20" t="str">
        <f>TEXT(SalesHistory[[#This Row],[日付]],"yyyy-mm")</f>
        <v>2025-05</v>
      </c>
      <c r="K121" s="35">
        <f>YEAR(SalesHistory[[#This Row],[日付]])</f>
        <v>2025</v>
      </c>
      <c r="L121" s="35">
        <f>MONTH(SalesHistory[[#This Row],[日付]])</f>
        <v>5</v>
      </c>
    </row>
    <row r="122" spans="1:12" ht="24.95" customHeight="1">
      <c r="A122" s="21">
        <v>45782</v>
      </c>
      <c r="B122" s="20" t="s">
        <v>128</v>
      </c>
      <c r="C122" s="20" t="s">
        <v>235</v>
      </c>
      <c r="D122" s="22">
        <v>27</v>
      </c>
      <c r="E122" s="22">
        <v>4000</v>
      </c>
      <c r="F122" s="22">
        <f t="shared" si="2"/>
        <v>108000</v>
      </c>
      <c r="G122" s="22">
        <v>64800</v>
      </c>
      <c r="H122" s="22">
        <f t="shared" si="3"/>
        <v>43200</v>
      </c>
      <c r="I122" s="20" t="s">
        <v>242</v>
      </c>
      <c r="J122" s="20" t="str">
        <f>TEXT(SalesHistory[[#This Row],[日付]],"yyyy-mm")</f>
        <v>2025-05</v>
      </c>
      <c r="K122" s="35">
        <f>YEAR(SalesHistory[[#This Row],[日付]])</f>
        <v>2025</v>
      </c>
      <c r="L122" s="35">
        <f>MONTH(SalesHistory[[#This Row],[日付]])</f>
        <v>5</v>
      </c>
    </row>
    <row r="123" spans="1:12" ht="24.95" customHeight="1">
      <c r="A123" s="21">
        <v>45792</v>
      </c>
      <c r="B123" s="20" t="s">
        <v>128</v>
      </c>
      <c r="C123" s="20" t="s">
        <v>235</v>
      </c>
      <c r="D123" s="22">
        <v>32</v>
      </c>
      <c r="E123" s="22">
        <v>4000</v>
      </c>
      <c r="F123" s="22">
        <f t="shared" si="2"/>
        <v>128000</v>
      </c>
      <c r="G123" s="22">
        <v>76800</v>
      </c>
      <c r="H123" s="22">
        <f t="shared" si="3"/>
        <v>51200</v>
      </c>
      <c r="I123" s="20" t="s">
        <v>242</v>
      </c>
      <c r="J123" s="20" t="str">
        <f>TEXT(SalesHistory[[#This Row],[日付]],"yyyy-mm")</f>
        <v>2025-05</v>
      </c>
      <c r="K123" s="35">
        <f>YEAR(SalesHistory[[#This Row],[日付]])</f>
        <v>2025</v>
      </c>
      <c r="L123" s="35">
        <f>MONTH(SalesHistory[[#This Row],[日付]])</f>
        <v>5</v>
      </c>
    </row>
    <row r="124" spans="1:12" ht="24.95" customHeight="1">
      <c r="A124" s="21">
        <v>45802</v>
      </c>
      <c r="B124" s="20" t="s">
        <v>128</v>
      </c>
      <c r="C124" s="20" t="s">
        <v>235</v>
      </c>
      <c r="D124" s="22">
        <v>20</v>
      </c>
      <c r="E124" s="22">
        <v>4000</v>
      </c>
      <c r="F124" s="22">
        <f t="shared" si="2"/>
        <v>80000</v>
      </c>
      <c r="G124" s="22">
        <v>48000</v>
      </c>
      <c r="H124" s="22">
        <f t="shared" si="3"/>
        <v>32000</v>
      </c>
      <c r="I124" s="20" t="s">
        <v>242</v>
      </c>
      <c r="J124" s="20" t="str">
        <f>TEXT(SalesHistory[[#This Row],[日付]],"yyyy-mm")</f>
        <v>2025-05</v>
      </c>
      <c r="K124" s="35">
        <f>YEAR(SalesHistory[[#This Row],[日付]])</f>
        <v>2025</v>
      </c>
      <c r="L124" s="35">
        <f>MONTH(SalesHistory[[#This Row],[日付]])</f>
        <v>5</v>
      </c>
    </row>
    <row r="125" spans="1:12" ht="24.95" customHeight="1">
      <c r="A125" s="21">
        <v>45813</v>
      </c>
      <c r="B125" s="20" t="s">
        <v>2</v>
      </c>
      <c r="C125" s="20" t="s">
        <v>56</v>
      </c>
      <c r="D125" s="22">
        <v>12</v>
      </c>
      <c r="E125" s="22">
        <v>50000</v>
      </c>
      <c r="F125" s="22">
        <f t="shared" si="2"/>
        <v>600000</v>
      </c>
      <c r="G125" s="22">
        <v>324000</v>
      </c>
      <c r="H125" s="22">
        <f t="shared" si="3"/>
        <v>276000</v>
      </c>
      <c r="I125" s="20" t="s">
        <v>242</v>
      </c>
      <c r="J125" s="20" t="str">
        <f>TEXT(SalesHistory[[#This Row],[日付]],"yyyy-mm")</f>
        <v>2025-06</v>
      </c>
      <c r="K125" s="35">
        <f>YEAR(SalesHistory[[#This Row],[日付]])</f>
        <v>2025</v>
      </c>
      <c r="L125" s="35">
        <f>MONTH(SalesHistory[[#This Row],[日付]])</f>
        <v>6</v>
      </c>
    </row>
    <row r="126" spans="1:12" ht="24.95" customHeight="1">
      <c r="A126" s="21">
        <v>45823</v>
      </c>
      <c r="B126" s="20" t="s">
        <v>2</v>
      </c>
      <c r="C126" s="20" t="s">
        <v>56</v>
      </c>
      <c r="D126" s="22">
        <v>17</v>
      </c>
      <c r="E126" s="22">
        <v>50000</v>
      </c>
      <c r="F126" s="22">
        <f t="shared" si="2"/>
        <v>850000</v>
      </c>
      <c r="G126" s="22">
        <v>459000</v>
      </c>
      <c r="H126" s="22">
        <f t="shared" si="3"/>
        <v>391000</v>
      </c>
      <c r="I126" s="20" t="s">
        <v>242</v>
      </c>
      <c r="J126" s="20" t="str">
        <f>TEXT(SalesHistory[[#This Row],[日付]],"yyyy-mm")</f>
        <v>2025-06</v>
      </c>
      <c r="K126" s="35">
        <f>YEAR(SalesHistory[[#This Row],[日付]])</f>
        <v>2025</v>
      </c>
      <c r="L126" s="35">
        <f>MONTH(SalesHistory[[#This Row],[日付]])</f>
        <v>6</v>
      </c>
    </row>
    <row r="127" spans="1:12" ht="24.95" customHeight="1">
      <c r="A127" s="21">
        <v>45833</v>
      </c>
      <c r="B127" s="20" t="s">
        <v>2</v>
      </c>
      <c r="C127" s="20" t="s">
        <v>56</v>
      </c>
      <c r="D127" s="22">
        <v>5</v>
      </c>
      <c r="E127" s="22">
        <v>50000</v>
      </c>
      <c r="F127" s="22">
        <f t="shared" si="2"/>
        <v>250000</v>
      </c>
      <c r="G127" s="22">
        <v>135000</v>
      </c>
      <c r="H127" s="22">
        <f t="shared" si="3"/>
        <v>115000</v>
      </c>
      <c r="I127" s="20" t="s">
        <v>242</v>
      </c>
      <c r="J127" s="20" t="str">
        <f>TEXT(SalesHistory[[#This Row],[日付]],"yyyy-mm")</f>
        <v>2025-06</v>
      </c>
      <c r="K127" s="35">
        <f>YEAR(SalesHistory[[#This Row],[日付]])</f>
        <v>2025</v>
      </c>
      <c r="L127" s="35">
        <f>MONTH(SalesHistory[[#This Row],[日付]])</f>
        <v>6</v>
      </c>
    </row>
    <row r="128" spans="1:12" ht="24.95" customHeight="1">
      <c r="A128" s="21">
        <v>45813</v>
      </c>
      <c r="B128" s="20" t="s">
        <v>2</v>
      </c>
      <c r="C128" s="20" t="s">
        <v>60</v>
      </c>
      <c r="D128" s="22">
        <v>15</v>
      </c>
      <c r="E128" s="22">
        <v>15000</v>
      </c>
      <c r="F128" s="22">
        <f t="shared" si="2"/>
        <v>225000</v>
      </c>
      <c r="G128" s="22">
        <v>135000</v>
      </c>
      <c r="H128" s="22">
        <f t="shared" si="3"/>
        <v>90000</v>
      </c>
      <c r="I128" s="20" t="s">
        <v>242</v>
      </c>
      <c r="J128" s="20" t="str">
        <f>TEXT(SalesHistory[[#This Row],[日付]],"yyyy-mm")</f>
        <v>2025-06</v>
      </c>
      <c r="K128" s="35">
        <f>YEAR(SalesHistory[[#This Row],[日付]])</f>
        <v>2025</v>
      </c>
      <c r="L128" s="35">
        <f>MONTH(SalesHistory[[#This Row],[日付]])</f>
        <v>6</v>
      </c>
    </row>
    <row r="129" spans="1:12" ht="24.95" customHeight="1">
      <c r="A129" s="21">
        <v>45823</v>
      </c>
      <c r="B129" s="20" t="s">
        <v>2</v>
      </c>
      <c r="C129" s="20" t="s">
        <v>60</v>
      </c>
      <c r="D129" s="22">
        <v>3</v>
      </c>
      <c r="E129" s="22">
        <v>15000</v>
      </c>
      <c r="F129" s="22">
        <f t="shared" si="2"/>
        <v>45000</v>
      </c>
      <c r="G129" s="22">
        <v>27000</v>
      </c>
      <c r="H129" s="22">
        <f t="shared" si="3"/>
        <v>18000</v>
      </c>
      <c r="I129" s="20" t="s">
        <v>242</v>
      </c>
      <c r="J129" s="20" t="str">
        <f>TEXT(SalesHistory[[#This Row],[日付]],"yyyy-mm")</f>
        <v>2025-06</v>
      </c>
      <c r="K129" s="35">
        <f>YEAR(SalesHistory[[#This Row],[日付]])</f>
        <v>2025</v>
      </c>
      <c r="L129" s="35">
        <f>MONTH(SalesHistory[[#This Row],[日付]])</f>
        <v>6</v>
      </c>
    </row>
    <row r="130" spans="1:12" ht="24.95" customHeight="1">
      <c r="A130" s="21">
        <v>45833</v>
      </c>
      <c r="B130" s="20" t="s">
        <v>2</v>
      </c>
      <c r="C130" s="20" t="s">
        <v>60</v>
      </c>
      <c r="D130" s="22">
        <v>8</v>
      </c>
      <c r="E130" s="22">
        <v>15000</v>
      </c>
      <c r="F130" s="22">
        <f t="shared" si="2"/>
        <v>120000</v>
      </c>
      <c r="G130" s="22">
        <v>72000</v>
      </c>
      <c r="H130" s="22">
        <f t="shared" si="3"/>
        <v>48000</v>
      </c>
      <c r="I130" s="20" t="s">
        <v>242</v>
      </c>
      <c r="J130" s="20" t="str">
        <f>TEXT(SalesHistory[[#This Row],[日付]],"yyyy-mm")</f>
        <v>2025-06</v>
      </c>
      <c r="K130" s="35">
        <f>YEAR(SalesHistory[[#This Row],[日付]])</f>
        <v>2025</v>
      </c>
      <c r="L130" s="35">
        <f>MONTH(SalesHistory[[#This Row],[日付]])</f>
        <v>6</v>
      </c>
    </row>
    <row r="131" spans="1:12" ht="24.95" customHeight="1">
      <c r="A131" s="21">
        <v>45813</v>
      </c>
      <c r="B131" s="20" t="s">
        <v>2</v>
      </c>
      <c r="C131" s="20" t="s">
        <v>231</v>
      </c>
      <c r="D131" s="22">
        <v>18</v>
      </c>
      <c r="E131" s="22">
        <v>35000</v>
      </c>
      <c r="F131" s="22">
        <f t="shared" si="2"/>
        <v>630000</v>
      </c>
      <c r="G131" s="22">
        <v>415800</v>
      </c>
      <c r="H131" s="22">
        <f t="shared" si="3"/>
        <v>214200</v>
      </c>
      <c r="I131" s="20" t="s">
        <v>242</v>
      </c>
      <c r="J131" s="20" t="str">
        <f>TEXT(SalesHistory[[#This Row],[日付]],"yyyy-mm")</f>
        <v>2025-06</v>
      </c>
      <c r="K131" s="35">
        <f>YEAR(SalesHistory[[#This Row],[日付]])</f>
        <v>2025</v>
      </c>
      <c r="L131" s="35">
        <f>MONTH(SalesHistory[[#This Row],[日付]])</f>
        <v>6</v>
      </c>
    </row>
    <row r="132" spans="1:12" ht="24.95" customHeight="1">
      <c r="A132" s="21">
        <v>45823</v>
      </c>
      <c r="B132" s="20" t="s">
        <v>2</v>
      </c>
      <c r="C132" s="20" t="s">
        <v>231</v>
      </c>
      <c r="D132" s="22">
        <v>6</v>
      </c>
      <c r="E132" s="22">
        <v>35000</v>
      </c>
      <c r="F132" s="22">
        <f t="shared" si="2"/>
        <v>210000</v>
      </c>
      <c r="G132" s="22">
        <v>138600</v>
      </c>
      <c r="H132" s="22">
        <f t="shared" si="3"/>
        <v>71400</v>
      </c>
      <c r="I132" s="20" t="s">
        <v>242</v>
      </c>
      <c r="J132" s="20" t="str">
        <f>TEXT(SalesHistory[[#This Row],[日付]],"yyyy-mm")</f>
        <v>2025-06</v>
      </c>
      <c r="K132" s="35">
        <f>YEAR(SalesHistory[[#This Row],[日付]])</f>
        <v>2025</v>
      </c>
      <c r="L132" s="35">
        <f>MONTH(SalesHistory[[#This Row],[日付]])</f>
        <v>6</v>
      </c>
    </row>
    <row r="133" spans="1:12" ht="24.95" customHeight="1">
      <c r="A133" s="21">
        <v>45833</v>
      </c>
      <c r="B133" s="20" t="s">
        <v>2</v>
      </c>
      <c r="C133" s="20" t="s">
        <v>231</v>
      </c>
      <c r="D133" s="22">
        <v>11</v>
      </c>
      <c r="E133" s="22">
        <v>35000</v>
      </c>
      <c r="F133" s="22">
        <f t="shared" ref="F133:F196" si="4">ROUND(D133*E133,0)</f>
        <v>385000</v>
      </c>
      <c r="G133" s="22">
        <v>254100</v>
      </c>
      <c r="H133" s="22">
        <f t="shared" ref="H133:H196" si="5">F133-G133</f>
        <v>130900</v>
      </c>
      <c r="I133" s="20" t="s">
        <v>242</v>
      </c>
      <c r="J133" s="20" t="str">
        <f>TEXT(SalesHistory[[#This Row],[日付]],"yyyy-mm")</f>
        <v>2025-06</v>
      </c>
      <c r="K133" s="35">
        <f>YEAR(SalesHistory[[#This Row],[日付]])</f>
        <v>2025</v>
      </c>
      <c r="L133" s="35">
        <f>MONTH(SalesHistory[[#This Row],[日付]])</f>
        <v>6</v>
      </c>
    </row>
    <row r="134" spans="1:12" ht="24.95" customHeight="1">
      <c r="A134" s="21">
        <v>45813</v>
      </c>
      <c r="B134" s="20" t="s">
        <v>2</v>
      </c>
      <c r="C134" s="20" t="s">
        <v>232</v>
      </c>
      <c r="D134" s="22">
        <v>4</v>
      </c>
      <c r="E134" s="22">
        <v>2500</v>
      </c>
      <c r="F134" s="22">
        <f t="shared" si="4"/>
        <v>10000</v>
      </c>
      <c r="G134" s="22">
        <v>7200</v>
      </c>
      <c r="H134" s="22">
        <f t="shared" si="5"/>
        <v>2800</v>
      </c>
      <c r="I134" s="20" t="s">
        <v>242</v>
      </c>
      <c r="J134" s="20" t="str">
        <f>TEXT(SalesHistory[[#This Row],[日付]],"yyyy-mm")</f>
        <v>2025-06</v>
      </c>
      <c r="K134" s="35">
        <f>YEAR(SalesHistory[[#This Row],[日付]])</f>
        <v>2025</v>
      </c>
      <c r="L134" s="35">
        <f>MONTH(SalesHistory[[#This Row],[日付]])</f>
        <v>6</v>
      </c>
    </row>
    <row r="135" spans="1:12" ht="24.95" customHeight="1">
      <c r="A135" s="21">
        <v>45823</v>
      </c>
      <c r="B135" s="20" t="s">
        <v>2</v>
      </c>
      <c r="C135" s="20" t="s">
        <v>232</v>
      </c>
      <c r="D135" s="22">
        <v>9</v>
      </c>
      <c r="E135" s="22">
        <v>2500</v>
      </c>
      <c r="F135" s="22">
        <f t="shared" si="4"/>
        <v>22500</v>
      </c>
      <c r="G135" s="22">
        <v>16200</v>
      </c>
      <c r="H135" s="22">
        <f t="shared" si="5"/>
        <v>6300</v>
      </c>
      <c r="I135" s="20" t="s">
        <v>242</v>
      </c>
      <c r="J135" s="20" t="str">
        <f>TEXT(SalesHistory[[#This Row],[日付]],"yyyy-mm")</f>
        <v>2025-06</v>
      </c>
      <c r="K135" s="35">
        <f>YEAR(SalesHistory[[#This Row],[日付]])</f>
        <v>2025</v>
      </c>
      <c r="L135" s="35">
        <f>MONTH(SalesHistory[[#This Row],[日付]])</f>
        <v>6</v>
      </c>
    </row>
    <row r="136" spans="1:12" ht="24.95" customHeight="1">
      <c r="A136" s="21">
        <v>45833</v>
      </c>
      <c r="B136" s="20" t="s">
        <v>2</v>
      </c>
      <c r="C136" s="20" t="s">
        <v>232</v>
      </c>
      <c r="D136" s="22">
        <v>14</v>
      </c>
      <c r="E136" s="22">
        <v>2500</v>
      </c>
      <c r="F136" s="22">
        <f t="shared" si="4"/>
        <v>35000</v>
      </c>
      <c r="G136" s="22">
        <v>25200</v>
      </c>
      <c r="H136" s="22">
        <f t="shared" si="5"/>
        <v>9800</v>
      </c>
      <c r="I136" s="20" t="s">
        <v>242</v>
      </c>
      <c r="J136" s="20" t="str">
        <f>TEXT(SalesHistory[[#This Row],[日付]],"yyyy-mm")</f>
        <v>2025-06</v>
      </c>
      <c r="K136" s="35">
        <f>YEAR(SalesHistory[[#This Row],[日付]])</f>
        <v>2025</v>
      </c>
      <c r="L136" s="35">
        <f>MONTH(SalesHistory[[#This Row],[日付]])</f>
        <v>6</v>
      </c>
    </row>
    <row r="137" spans="1:12" ht="24.95" customHeight="1">
      <c r="A137" s="21">
        <v>45813</v>
      </c>
      <c r="B137" s="20" t="s">
        <v>128</v>
      </c>
      <c r="C137" s="20" t="s">
        <v>148</v>
      </c>
      <c r="D137" s="22">
        <v>25</v>
      </c>
      <c r="E137" s="22">
        <v>2000</v>
      </c>
      <c r="F137" s="22">
        <f t="shared" si="4"/>
        <v>50000</v>
      </c>
      <c r="G137" s="22">
        <v>24000</v>
      </c>
      <c r="H137" s="22">
        <f t="shared" si="5"/>
        <v>26000</v>
      </c>
      <c r="I137" s="20" t="s">
        <v>242</v>
      </c>
      <c r="J137" s="20" t="str">
        <f>TEXT(SalesHistory[[#This Row],[日付]],"yyyy-mm")</f>
        <v>2025-06</v>
      </c>
      <c r="K137" s="35">
        <f>YEAR(SalesHistory[[#This Row],[日付]])</f>
        <v>2025</v>
      </c>
      <c r="L137" s="35">
        <f>MONTH(SalesHistory[[#This Row],[日付]])</f>
        <v>6</v>
      </c>
    </row>
    <row r="138" spans="1:12" ht="24.95" customHeight="1">
      <c r="A138" s="21">
        <v>45823</v>
      </c>
      <c r="B138" s="20" t="s">
        <v>128</v>
      </c>
      <c r="C138" s="20" t="s">
        <v>148</v>
      </c>
      <c r="D138" s="22">
        <v>30</v>
      </c>
      <c r="E138" s="22">
        <v>2000</v>
      </c>
      <c r="F138" s="22">
        <f t="shared" si="4"/>
        <v>60000</v>
      </c>
      <c r="G138" s="22">
        <v>28800</v>
      </c>
      <c r="H138" s="22">
        <f t="shared" si="5"/>
        <v>31200</v>
      </c>
      <c r="I138" s="20" t="s">
        <v>242</v>
      </c>
      <c r="J138" s="20" t="str">
        <f>TEXT(SalesHistory[[#This Row],[日付]],"yyyy-mm")</f>
        <v>2025-06</v>
      </c>
      <c r="K138" s="35">
        <f>YEAR(SalesHistory[[#This Row],[日付]])</f>
        <v>2025</v>
      </c>
      <c r="L138" s="35">
        <f>MONTH(SalesHistory[[#This Row],[日付]])</f>
        <v>6</v>
      </c>
    </row>
    <row r="139" spans="1:12" ht="24.95" customHeight="1">
      <c r="A139" s="21">
        <v>45833</v>
      </c>
      <c r="B139" s="20" t="s">
        <v>128</v>
      </c>
      <c r="C139" s="20" t="s">
        <v>148</v>
      </c>
      <c r="D139" s="22">
        <v>35</v>
      </c>
      <c r="E139" s="22">
        <v>2000</v>
      </c>
      <c r="F139" s="22">
        <f t="shared" si="4"/>
        <v>70000</v>
      </c>
      <c r="G139" s="22">
        <v>33600</v>
      </c>
      <c r="H139" s="22">
        <f t="shared" si="5"/>
        <v>36400</v>
      </c>
      <c r="I139" s="20" t="s">
        <v>242</v>
      </c>
      <c r="J139" s="20" t="str">
        <f>TEXT(SalesHistory[[#This Row],[日付]],"yyyy-mm")</f>
        <v>2025-06</v>
      </c>
      <c r="K139" s="35">
        <f>YEAR(SalesHistory[[#This Row],[日付]])</f>
        <v>2025</v>
      </c>
      <c r="L139" s="35">
        <f>MONTH(SalesHistory[[#This Row],[日付]])</f>
        <v>6</v>
      </c>
    </row>
    <row r="140" spans="1:12" ht="24.95" customHeight="1">
      <c r="A140" s="21">
        <v>45813</v>
      </c>
      <c r="B140" s="20" t="s">
        <v>128</v>
      </c>
      <c r="C140" s="20" t="s">
        <v>233</v>
      </c>
      <c r="D140" s="22">
        <v>28</v>
      </c>
      <c r="E140" s="22">
        <v>1800</v>
      </c>
      <c r="F140" s="22">
        <f t="shared" si="4"/>
        <v>50400</v>
      </c>
      <c r="G140" s="22">
        <v>27216</v>
      </c>
      <c r="H140" s="22">
        <f t="shared" si="5"/>
        <v>23184</v>
      </c>
      <c r="I140" s="20" t="s">
        <v>242</v>
      </c>
      <c r="J140" s="20" t="str">
        <f>TEXT(SalesHistory[[#This Row],[日付]],"yyyy-mm")</f>
        <v>2025-06</v>
      </c>
      <c r="K140" s="35">
        <f>YEAR(SalesHistory[[#This Row],[日付]])</f>
        <v>2025</v>
      </c>
      <c r="L140" s="35">
        <f>MONTH(SalesHistory[[#This Row],[日付]])</f>
        <v>6</v>
      </c>
    </row>
    <row r="141" spans="1:12" ht="24.95" customHeight="1">
      <c r="A141" s="21">
        <v>45823</v>
      </c>
      <c r="B141" s="20" t="s">
        <v>128</v>
      </c>
      <c r="C141" s="20" t="s">
        <v>233</v>
      </c>
      <c r="D141" s="22">
        <v>33</v>
      </c>
      <c r="E141" s="22">
        <v>1800</v>
      </c>
      <c r="F141" s="22">
        <f t="shared" si="4"/>
        <v>59400</v>
      </c>
      <c r="G141" s="22">
        <v>32076</v>
      </c>
      <c r="H141" s="22">
        <f t="shared" si="5"/>
        <v>27324</v>
      </c>
      <c r="I141" s="20" t="s">
        <v>242</v>
      </c>
      <c r="J141" s="20" t="str">
        <f>TEXT(SalesHistory[[#This Row],[日付]],"yyyy-mm")</f>
        <v>2025-06</v>
      </c>
      <c r="K141" s="35">
        <f>YEAR(SalesHistory[[#This Row],[日付]])</f>
        <v>2025</v>
      </c>
      <c r="L141" s="35">
        <f>MONTH(SalesHistory[[#This Row],[日付]])</f>
        <v>6</v>
      </c>
    </row>
    <row r="142" spans="1:12" ht="24.95" customHeight="1">
      <c r="A142" s="21">
        <v>45833</v>
      </c>
      <c r="B142" s="20" t="s">
        <v>128</v>
      </c>
      <c r="C142" s="20" t="s">
        <v>233</v>
      </c>
      <c r="D142" s="22">
        <v>21</v>
      </c>
      <c r="E142" s="22">
        <v>1800</v>
      </c>
      <c r="F142" s="22">
        <f t="shared" si="4"/>
        <v>37800</v>
      </c>
      <c r="G142" s="22">
        <v>20412</v>
      </c>
      <c r="H142" s="22">
        <f t="shared" si="5"/>
        <v>17388</v>
      </c>
      <c r="I142" s="20" t="s">
        <v>242</v>
      </c>
      <c r="J142" s="20" t="str">
        <f>TEXT(SalesHistory[[#This Row],[日付]],"yyyy-mm")</f>
        <v>2025-06</v>
      </c>
      <c r="K142" s="35">
        <f>YEAR(SalesHistory[[#This Row],[日付]])</f>
        <v>2025</v>
      </c>
      <c r="L142" s="35">
        <f>MONTH(SalesHistory[[#This Row],[日付]])</f>
        <v>6</v>
      </c>
    </row>
    <row r="143" spans="1:12" ht="24.95" customHeight="1">
      <c r="A143" s="21">
        <v>45813</v>
      </c>
      <c r="B143" s="20" t="s">
        <v>128</v>
      </c>
      <c r="C143" s="20" t="s">
        <v>234</v>
      </c>
      <c r="D143" s="22">
        <v>31</v>
      </c>
      <c r="E143" s="22">
        <v>3200</v>
      </c>
      <c r="F143" s="22">
        <f t="shared" si="4"/>
        <v>99200</v>
      </c>
      <c r="G143" s="22">
        <v>59520</v>
      </c>
      <c r="H143" s="22">
        <f t="shared" si="5"/>
        <v>39680</v>
      </c>
      <c r="I143" s="20" t="s">
        <v>242</v>
      </c>
      <c r="J143" s="20" t="str">
        <f>TEXT(SalesHistory[[#This Row],[日付]],"yyyy-mm")</f>
        <v>2025-06</v>
      </c>
      <c r="K143" s="35">
        <f>YEAR(SalesHistory[[#This Row],[日付]])</f>
        <v>2025</v>
      </c>
      <c r="L143" s="35">
        <f>MONTH(SalesHistory[[#This Row],[日付]])</f>
        <v>6</v>
      </c>
    </row>
    <row r="144" spans="1:12" ht="24.95" customHeight="1">
      <c r="A144" s="21">
        <v>45823</v>
      </c>
      <c r="B144" s="20" t="s">
        <v>128</v>
      </c>
      <c r="C144" s="20" t="s">
        <v>234</v>
      </c>
      <c r="D144" s="22">
        <v>36</v>
      </c>
      <c r="E144" s="22">
        <v>3200</v>
      </c>
      <c r="F144" s="22">
        <f t="shared" si="4"/>
        <v>115200</v>
      </c>
      <c r="G144" s="22">
        <v>69120</v>
      </c>
      <c r="H144" s="22">
        <f t="shared" si="5"/>
        <v>46080</v>
      </c>
      <c r="I144" s="20" t="s">
        <v>242</v>
      </c>
      <c r="J144" s="20" t="str">
        <f>TEXT(SalesHistory[[#This Row],[日付]],"yyyy-mm")</f>
        <v>2025-06</v>
      </c>
      <c r="K144" s="35">
        <f>YEAR(SalesHistory[[#This Row],[日付]])</f>
        <v>2025</v>
      </c>
      <c r="L144" s="35">
        <f>MONTH(SalesHistory[[#This Row],[日付]])</f>
        <v>6</v>
      </c>
    </row>
    <row r="145" spans="1:12" ht="24.95" customHeight="1">
      <c r="A145" s="21">
        <v>45833</v>
      </c>
      <c r="B145" s="20" t="s">
        <v>128</v>
      </c>
      <c r="C145" s="20" t="s">
        <v>234</v>
      </c>
      <c r="D145" s="22">
        <v>24</v>
      </c>
      <c r="E145" s="22">
        <v>3200</v>
      </c>
      <c r="F145" s="22">
        <f t="shared" si="4"/>
        <v>76800</v>
      </c>
      <c r="G145" s="22">
        <v>46080</v>
      </c>
      <c r="H145" s="22">
        <f t="shared" si="5"/>
        <v>30720</v>
      </c>
      <c r="I145" s="20" t="s">
        <v>242</v>
      </c>
      <c r="J145" s="20" t="str">
        <f>TEXT(SalesHistory[[#This Row],[日付]],"yyyy-mm")</f>
        <v>2025-06</v>
      </c>
      <c r="K145" s="35">
        <f>YEAR(SalesHistory[[#This Row],[日付]])</f>
        <v>2025</v>
      </c>
      <c r="L145" s="35">
        <f>MONTH(SalesHistory[[#This Row],[日付]])</f>
        <v>6</v>
      </c>
    </row>
    <row r="146" spans="1:12" ht="24.95" customHeight="1">
      <c r="A146" s="21">
        <v>45813</v>
      </c>
      <c r="B146" s="20" t="s">
        <v>128</v>
      </c>
      <c r="C146" s="20" t="s">
        <v>235</v>
      </c>
      <c r="D146" s="22">
        <v>34</v>
      </c>
      <c r="E146" s="22">
        <v>4000</v>
      </c>
      <c r="F146" s="22">
        <f t="shared" si="4"/>
        <v>136000</v>
      </c>
      <c r="G146" s="22">
        <v>89760</v>
      </c>
      <c r="H146" s="22">
        <f t="shared" si="5"/>
        <v>46240</v>
      </c>
      <c r="I146" s="20" t="s">
        <v>242</v>
      </c>
      <c r="J146" s="20" t="str">
        <f>TEXT(SalesHistory[[#This Row],[日付]],"yyyy-mm")</f>
        <v>2025-06</v>
      </c>
      <c r="K146" s="35">
        <f>YEAR(SalesHistory[[#This Row],[日付]])</f>
        <v>2025</v>
      </c>
      <c r="L146" s="35">
        <f>MONTH(SalesHistory[[#This Row],[日付]])</f>
        <v>6</v>
      </c>
    </row>
    <row r="147" spans="1:12" ht="24.95" customHeight="1">
      <c r="A147" s="21">
        <v>45823</v>
      </c>
      <c r="B147" s="20" t="s">
        <v>128</v>
      </c>
      <c r="C147" s="20" t="s">
        <v>235</v>
      </c>
      <c r="D147" s="22">
        <v>22</v>
      </c>
      <c r="E147" s="22">
        <v>4000</v>
      </c>
      <c r="F147" s="22">
        <f t="shared" si="4"/>
        <v>88000</v>
      </c>
      <c r="G147" s="22">
        <v>58080</v>
      </c>
      <c r="H147" s="22">
        <f t="shared" si="5"/>
        <v>29920</v>
      </c>
      <c r="I147" s="20" t="s">
        <v>242</v>
      </c>
      <c r="J147" s="20" t="str">
        <f>TEXT(SalesHistory[[#This Row],[日付]],"yyyy-mm")</f>
        <v>2025-06</v>
      </c>
      <c r="K147" s="35">
        <f>YEAR(SalesHistory[[#This Row],[日付]])</f>
        <v>2025</v>
      </c>
      <c r="L147" s="35">
        <f>MONTH(SalesHistory[[#This Row],[日付]])</f>
        <v>6</v>
      </c>
    </row>
    <row r="148" spans="1:12" ht="24.95" customHeight="1">
      <c r="A148" s="21">
        <v>45833</v>
      </c>
      <c r="B148" s="20" t="s">
        <v>128</v>
      </c>
      <c r="C148" s="20" t="s">
        <v>235</v>
      </c>
      <c r="D148" s="22">
        <v>27</v>
      </c>
      <c r="E148" s="22">
        <v>4000</v>
      </c>
      <c r="F148" s="22">
        <f t="shared" si="4"/>
        <v>108000</v>
      </c>
      <c r="G148" s="22">
        <v>71280</v>
      </c>
      <c r="H148" s="22">
        <f t="shared" si="5"/>
        <v>36720</v>
      </c>
      <c r="I148" s="20" t="s">
        <v>242</v>
      </c>
      <c r="J148" s="20" t="str">
        <f>TEXT(SalesHistory[[#This Row],[日付]],"yyyy-mm")</f>
        <v>2025-06</v>
      </c>
      <c r="K148" s="35">
        <f>YEAR(SalesHistory[[#This Row],[日付]])</f>
        <v>2025</v>
      </c>
      <c r="L148" s="35">
        <f>MONTH(SalesHistory[[#This Row],[日付]])</f>
        <v>6</v>
      </c>
    </row>
    <row r="149" spans="1:12" ht="24.95" customHeight="1">
      <c r="A149" s="21">
        <v>45843</v>
      </c>
      <c r="B149" s="20" t="s">
        <v>2</v>
      </c>
      <c r="C149" s="20" t="s">
        <v>56</v>
      </c>
      <c r="D149" s="22">
        <v>2</v>
      </c>
      <c r="E149" s="22">
        <v>50000</v>
      </c>
      <c r="F149" s="22">
        <f t="shared" si="4"/>
        <v>100000</v>
      </c>
      <c r="G149" s="22">
        <v>60000</v>
      </c>
      <c r="H149" s="22">
        <f t="shared" si="5"/>
        <v>40000</v>
      </c>
      <c r="I149" s="20" t="s">
        <v>242</v>
      </c>
      <c r="J149" s="20" t="str">
        <f>TEXT(SalesHistory[[#This Row],[日付]],"yyyy-mm")</f>
        <v>2025-07</v>
      </c>
      <c r="K149" s="35">
        <f>YEAR(SalesHistory[[#This Row],[日付]])</f>
        <v>2025</v>
      </c>
      <c r="L149" s="35">
        <f>MONTH(SalesHistory[[#This Row],[日付]])</f>
        <v>7</v>
      </c>
    </row>
    <row r="150" spans="1:12" ht="24.95" customHeight="1">
      <c r="A150" s="21">
        <v>45853</v>
      </c>
      <c r="B150" s="20" t="s">
        <v>2</v>
      </c>
      <c r="C150" s="20" t="s">
        <v>56</v>
      </c>
      <c r="D150" s="22">
        <v>7</v>
      </c>
      <c r="E150" s="22">
        <v>50000</v>
      </c>
      <c r="F150" s="22">
        <f t="shared" si="4"/>
        <v>350000</v>
      </c>
      <c r="G150" s="22">
        <v>210000</v>
      </c>
      <c r="H150" s="22">
        <f t="shared" si="5"/>
        <v>140000</v>
      </c>
      <c r="I150" s="20" t="s">
        <v>242</v>
      </c>
      <c r="J150" s="20" t="str">
        <f>TEXT(SalesHistory[[#This Row],[日付]],"yyyy-mm")</f>
        <v>2025-07</v>
      </c>
      <c r="K150" s="35">
        <f>YEAR(SalesHistory[[#This Row],[日付]])</f>
        <v>2025</v>
      </c>
      <c r="L150" s="35">
        <f>MONTH(SalesHistory[[#This Row],[日付]])</f>
        <v>7</v>
      </c>
    </row>
    <row r="151" spans="1:12" ht="24.95" customHeight="1">
      <c r="A151" s="21">
        <v>45863</v>
      </c>
      <c r="B151" s="20" t="s">
        <v>2</v>
      </c>
      <c r="C151" s="20" t="s">
        <v>56</v>
      </c>
      <c r="D151" s="22">
        <v>12</v>
      </c>
      <c r="E151" s="22">
        <v>50000</v>
      </c>
      <c r="F151" s="22">
        <f t="shared" si="4"/>
        <v>600000</v>
      </c>
      <c r="G151" s="22">
        <v>360000</v>
      </c>
      <c r="H151" s="22">
        <f t="shared" si="5"/>
        <v>240000</v>
      </c>
      <c r="I151" s="20" t="s">
        <v>242</v>
      </c>
      <c r="J151" s="20" t="str">
        <f>TEXT(SalesHistory[[#This Row],[日付]],"yyyy-mm")</f>
        <v>2025-07</v>
      </c>
      <c r="K151" s="35">
        <f>YEAR(SalesHistory[[#This Row],[日付]])</f>
        <v>2025</v>
      </c>
      <c r="L151" s="35">
        <f>MONTH(SalesHistory[[#This Row],[日付]])</f>
        <v>7</v>
      </c>
    </row>
    <row r="152" spans="1:12" ht="24.95" customHeight="1">
      <c r="A152" s="21">
        <v>45843</v>
      </c>
      <c r="B152" s="20" t="s">
        <v>2</v>
      </c>
      <c r="C152" s="20" t="s">
        <v>60</v>
      </c>
      <c r="D152" s="22">
        <v>5</v>
      </c>
      <c r="E152" s="22">
        <v>15000</v>
      </c>
      <c r="F152" s="22">
        <f t="shared" si="4"/>
        <v>75000</v>
      </c>
      <c r="G152" s="22">
        <v>49500</v>
      </c>
      <c r="H152" s="22">
        <f t="shared" si="5"/>
        <v>25500</v>
      </c>
      <c r="I152" s="20" t="s">
        <v>242</v>
      </c>
      <c r="J152" s="20" t="str">
        <f>TEXT(SalesHistory[[#This Row],[日付]],"yyyy-mm")</f>
        <v>2025-07</v>
      </c>
      <c r="K152" s="35">
        <f>YEAR(SalesHistory[[#This Row],[日付]])</f>
        <v>2025</v>
      </c>
      <c r="L152" s="35">
        <f>MONTH(SalesHistory[[#This Row],[日付]])</f>
        <v>7</v>
      </c>
    </row>
    <row r="153" spans="1:12" ht="24.95" customHeight="1">
      <c r="A153" s="21">
        <v>45853</v>
      </c>
      <c r="B153" s="20" t="s">
        <v>2</v>
      </c>
      <c r="C153" s="20" t="s">
        <v>60</v>
      </c>
      <c r="D153" s="22">
        <v>10</v>
      </c>
      <c r="E153" s="22">
        <v>15000</v>
      </c>
      <c r="F153" s="22">
        <f t="shared" si="4"/>
        <v>150000</v>
      </c>
      <c r="G153" s="22">
        <v>99000</v>
      </c>
      <c r="H153" s="22">
        <f t="shared" si="5"/>
        <v>51000</v>
      </c>
      <c r="I153" s="20" t="s">
        <v>242</v>
      </c>
      <c r="J153" s="20" t="str">
        <f>TEXT(SalesHistory[[#This Row],[日付]],"yyyy-mm")</f>
        <v>2025-07</v>
      </c>
      <c r="K153" s="35">
        <f>YEAR(SalesHistory[[#This Row],[日付]])</f>
        <v>2025</v>
      </c>
      <c r="L153" s="35">
        <f>MONTH(SalesHistory[[#This Row],[日付]])</f>
        <v>7</v>
      </c>
    </row>
    <row r="154" spans="1:12" ht="24.95" customHeight="1">
      <c r="A154" s="21">
        <v>45863</v>
      </c>
      <c r="B154" s="20" t="s">
        <v>2</v>
      </c>
      <c r="C154" s="20" t="s">
        <v>60</v>
      </c>
      <c r="D154" s="22">
        <v>15</v>
      </c>
      <c r="E154" s="22">
        <v>15000</v>
      </c>
      <c r="F154" s="22">
        <f t="shared" si="4"/>
        <v>225000</v>
      </c>
      <c r="G154" s="22">
        <v>148500</v>
      </c>
      <c r="H154" s="22">
        <f t="shared" si="5"/>
        <v>76500</v>
      </c>
      <c r="I154" s="20" t="s">
        <v>242</v>
      </c>
      <c r="J154" s="20" t="str">
        <f>TEXT(SalesHistory[[#This Row],[日付]],"yyyy-mm")</f>
        <v>2025-07</v>
      </c>
      <c r="K154" s="35">
        <f>YEAR(SalesHistory[[#This Row],[日付]])</f>
        <v>2025</v>
      </c>
      <c r="L154" s="35">
        <f>MONTH(SalesHistory[[#This Row],[日付]])</f>
        <v>7</v>
      </c>
    </row>
    <row r="155" spans="1:12" ht="24.95" customHeight="1">
      <c r="A155" s="21">
        <v>45843</v>
      </c>
      <c r="B155" s="20" t="s">
        <v>2</v>
      </c>
      <c r="C155" s="20" t="s">
        <v>231</v>
      </c>
      <c r="D155" s="22">
        <v>8</v>
      </c>
      <c r="E155" s="22">
        <v>35000</v>
      </c>
      <c r="F155" s="22">
        <f t="shared" si="4"/>
        <v>280000</v>
      </c>
      <c r="G155" s="22">
        <v>201600</v>
      </c>
      <c r="H155" s="22">
        <f t="shared" si="5"/>
        <v>78400</v>
      </c>
      <c r="I155" s="20" t="s">
        <v>242</v>
      </c>
      <c r="J155" s="20" t="str">
        <f>TEXT(SalesHistory[[#This Row],[日付]],"yyyy-mm")</f>
        <v>2025-07</v>
      </c>
      <c r="K155" s="35">
        <f>YEAR(SalesHistory[[#This Row],[日付]])</f>
        <v>2025</v>
      </c>
      <c r="L155" s="35">
        <f>MONTH(SalesHistory[[#This Row],[日付]])</f>
        <v>7</v>
      </c>
    </row>
    <row r="156" spans="1:12" ht="24.95" customHeight="1">
      <c r="A156" s="21">
        <v>45853</v>
      </c>
      <c r="B156" s="20" t="s">
        <v>2</v>
      </c>
      <c r="C156" s="20" t="s">
        <v>231</v>
      </c>
      <c r="D156" s="22">
        <v>13</v>
      </c>
      <c r="E156" s="22">
        <v>35000</v>
      </c>
      <c r="F156" s="22">
        <f t="shared" si="4"/>
        <v>455000</v>
      </c>
      <c r="G156" s="22">
        <v>327600</v>
      </c>
      <c r="H156" s="22">
        <f t="shared" si="5"/>
        <v>127400</v>
      </c>
      <c r="I156" s="20" t="s">
        <v>242</v>
      </c>
      <c r="J156" s="20" t="str">
        <f>TEXT(SalesHistory[[#This Row],[日付]],"yyyy-mm")</f>
        <v>2025-07</v>
      </c>
      <c r="K156" s="35">
        <f>YEAR(SalesHistory[[#This Row],[日付]])</f>
        <v>2025</v>
      </c>
      <c r="L156" s="35">
        <f>MONTH(SalesHistory[[#This Row],[日付]])</f>
        <v>7</v>
      </c>
    </row>
    <row r="157" spans="1:12" ht="24.95" customHeight="1">
      <c r="A157" s="21">
        <v>45863</v>
      </c>
      <c r="B157" s="20" t="s">
        <v>2</v>
      </c>
      <c r="C157" s="20" t="s">
        <v>231</v>
      </c>
      <c r="D157" s="22">
        <v>18</v>
      </c>
      <c r="E157" s="22">
        <v>35000</v>
      </c>
      <c r="F157" s="22">
        <f t="shared" si="4"/>
        <v>630000</v>
      </c>
      <c r="G157" s="22">
        <v>453600</v>
      </c>
      <c r="H157" s="22">
        <f t="shared" si="5"/>
        <v>176400</v>
      </c>
      <c r="I157" s="20" t="s">
        <v>242</v>
      </c>
      <c r="J157" s="20" t="str">
        <f>TEXT(SalesHistory[[#This Row],[日付]],"yyyy-mm")</f>
        <v>2025-07</v>
      </c>
      <c r="K157" s="35">
        <f>YEAR(SalesHistory[[#This Row],[日付]])</f>
        <v>2025</v>
      </c>
      <c r="L157" s="35">
        <f>MONTH(SalesHistory[[#This Row],[日付]])</f>
        <v>7</v>
      </c>
    </row>
    <row r="158" spans="1:12" ht="24.95" customHeight="1">
      <c r="A158" s="21">
        <v>45843</v>
      </c>
      <c r="B158" s="20" t="s">
        <v>2</v>
      </c>
      <c r="C158" s="20" t="s">
        <v>232</v>
      </c>
      <c r="D158" s="22">
        <v>11</v>
      </c>
      <c r="E158" s="22">
        <v>2500</v>
      </c>
      <c r="F158" s="22">
        <f t="shared" si="4"/>
        <v>27500</v>
      </c>
      <c r="G158" s="22">
        <v>13200</v>
      </c>
      <c r="H158" s="22">
        <f t="shared" si="5"/>
        <v>14300</v>
      </c>
      <c r="I158" s="20" t="s">
        <v>242</v>
      </c>
      <c r="J158" s="20" t="str">
        <f>TEXT(SalesHistory[[#This Row],[日付]],"yyyy-mm")</f>
        <v>2025-07</v>
      </c>
      <c r="K158" s="35">
        <f>YEAR(SalesHistory[[#This Row],[日付]])</f>
        <v>2025</v>
      </c>
      <c r="L158" s="35">
        <f>MONTH(SalesHistory[[#This Row],[日付]])</f>
        <v>7</v>
      </c>
    </row>
    <row r="159" spans="1:12" ht="24.95" customHeight="1">
      <c r="A159" s="21">
        <v>45853</v>
      </c>
      <c r="B159" s="20" t="s">
        <v>2</v>
      </c>
      <c r="C159" s="20" t="s">
        <v>232</v>
      </c>
      <c r="D159" s="22">
        <v>16</v>
      </c>
      <c r="E159" s="22">
        <v>2500</v>
      </c>
      <c r="F159" s="22">
        <f t="shared" si="4"/>
        <v>40000</v>
      </c>
      <c r="G159" s="22">
        <v>19200</v>
      </c>
      <c r="H159" s="22">
        <f t="shared" si="5"/>
        <v>20800</v>
      </c>
      <c r="I159" s="20" t="s">
        <v>242</v>
      </c>
      <c r="J159" s="20" t="str">
        <f>TEXT(SalesHistory[[#This Row],[日付]],"yyyy-mm")</f>
        <v>2025-07</v>
      </c>
      <c r="K159" s="35">
        <f>YEAR(SalesHistory[[#This Row],[日付]])</f>
        <v>2025</v>
      </c>
      <c r="L159" s="35">
        <f>MONTH(SalesHistory[[#This Row],[日付]])</f>
        <v>7</v>
      </c>
    </row>
    <row r="160" spans="1:12" ht="24.95" customHeight="1">
      <c r="A160" s="21">
        <v>45863</v>
      </c>
      <c r="B160" s="20" t="s">
        <v>2</v>
      </c>
      <c r="C160" s="20" t="s">
        <v>232</v>
      </c>
      <c r="D160" s="22">
        <v>4</v>
      </c>
      <c r="E160" s="22">
        <v>2500</v>
      </c>
      <c r="F160" s="22">
        <f t="shared" si="4"/>
        <v>10000</v>
      </c>
      <c r="G160" s="22">
        <v>4800</v>
      </c>
      <c r="H160" s="22">
        <f t="shared" si="5"/>
        <v>5200</v>
      </c>
      <c r="I160" s="20" t="s">
        <v>242</v>
      </c>
      <c r="J160" s="20" t="str">
        <f>TEXT(SalesHistory[[#This Row],[日付]],"yyyy-mm")</f>
        <v>2025-07</v>
      </c>
      <c r="K160" s="35">
        <f>YEAR(SalesHistory[[#This Row],[日付]])</f>
        <v>2025</v>
      </c>
      <c r="L160" s="35">
        <f>MONTH(SalesHistory[[#This Row],[日付]])</f>
        <v>7</v>
      </c>
    </row>
    <row r="161" spans="1:12" ht="24.95" customHeight="1">
      <c r="A161" s="21">
        <v>45843</v>
      </c>
      <c r="B161" s="20" t="s">
        <v>128</v>
      </c>
      <c r="C161" s="20" t="s">
        <v>148</v>
      </c>
      <c r="D161" s="22">
        <v>32</v>
      </c>
      <c r="E161" s="22">
        <v>2000</v>
      </c>
      <c r="F161" s="22">
        <f t="shared" si="4"/>
        <v>64000</v>
      </c>
      <c r="G161" s="22">
        <v>34560</v>
      </c>
      <c r="H161" s="22">
        <f t="shared" si="5"/>
        <v>29440</v>
      </c>
      <c r="I161" s="20" t="s">
        <v>242</v>
      </c>
      <c r="J161" s="20" t="str">
        <f>TEXT(SalesHistory[[#This Row],[日付]],"yyyy-mm")</f>
        <v>2025-07</v>
      </c>
      <c r="K161" s="35">
        <f>YEAR(SalesHistory[[#This Row],[日付]])</f>
        <v>2025</v>
      </c>
      <c r="L161" s="35">
        <f>MONTH(SalesHistory[[#This Row],[日付]])</f>
        <v>7</v>
      </c>
    </row>
    <row r="162" spans="1:12" ht="24.95" customHeight="1">
      <c r="A162" s="21">
        <v>45853</v>
      </c>
      <c r="B162" s="20" t="s">
        <v>128</v>
      </c>
      <c r="C162" s="20" t="s">
        <v>148</v>
      </c>
      <c r="D162" s="22">
        <v>20</v>
      </c>
      <c r="E162" s="22">
        <v>2000</v>
      </c>
      <c r="F162" s="22">
        <f t="shared" si="4"/>
        <v>40000</v>
      </c>
      <c r="G162" s="22">
        <v>21600</v>
      </c>
      <c r="H162" s="22">
        <f t="shared" si="5"/>
        <v>18400</v>
      </c>
      <c r="I162" s="20" t="s">
        <v>242</v>
      </c>
      <c r="J162" s="20" t="str">
        <f>TEXT(SalesHistory[[#This Row],[日付]],"yyyy-mm")</f>
        <v>2025-07</v>
      </c>
      <c r="K162" s="35">
        <f>YEAR(SalesHistory[[#This Row],[日付]])</f>
        <v>2025</v>
      </c>
      <c r="L162" s="35">
        <f>MONTH(SalesHistory[[#This Row],[日付]])</f>
        <v>7</v>
      </c>
    </row>
    <row r="163" spans="1:12" ht="24.95" customHeight="1">
      <c r="A163" s="21">
        <v>45863</v>
      </c>
      <c r="B163" s="20" t="s">
        <v>128</v>
      </c>
      <c r="C163" s="20" t="s">
        <v>148</v>
      </c>
      <c r="D163" s="22">
        <v>25</v>
      </c>
      <c r="E163" s="22">
        <v>2000</v>
      </c>
      <c r="F163" s="22">
        <f t="shared" si="4"/>
        <v>50000</v>
      </c>
      <c r="G163" s="22">
        <v>27000</v>
      </c>
      <c r="H163" s="22">
        <f t="shared" si="5"/>
        <v>23000</v>
      </c>
      <c r="I163" s="20" t="s">
        <v>242</v>
      </c>
      <c r="J163" s="20" t="str">
        <f>TEXT(SalesHistory[[#This Row],[日付]],"yyyy-mm")</f>
        <v>2025-07</v>
      </c>
      <c r="K163" s="35">
        <f>YEAR(SalesHistory[[#This Row],[日付]])</f>
        <v>2025</v>
      </c>
      <c r="L163" s="35">
        <f>MONTH(SalesHistory[[#This Row],[日付]])</f>
        <v>7</v>
      </c>
    </row>
    <row r="164" spans="1:12" ht="24.95" customHeight="1">
      <c r="A164" s="21">
        <v>45843</v>
      </c>
      <c r="B164" s="20" t="s">
        <v>128</v>
      </c>
      <c r="C164" s="20" t="s">
        <v>233</v>
      </c>
      <c r="D164" s="22">
        <v>35</v>
      </c>
      <c r="E164" s="22">
        <v>1800</v>
      </c>
      <c r="F164" s="22">
        <f t="shared" si="4"/>
        <v>63000</v>
      </c>
      <c r="G164" s="22">
        <v>37800</v>
      </c>
      <c r="H164" s="22">
        <f t="shared" si="5"/>
        <v>25200</v>
      </c>
      <c r="I164" s="20" t="s">
        <v>242</v>
      </c>
      <c r="J164" s="20" t="str">
        <f>TEXT(SalesHistory[[#This Row],[日付]],"yyyy-mm")</f>
        <v>2025-07</v>
      </c>
      <c r="K164" s="35">
        <f>YEAR(SalesHistory[[#This Row],[日付]])</f>
        <v>2025</v>
      </c>
      <c r="L164" s="35">
        <f>MONTH(SalesHistory[[#This Row],[日付]])</f>
        <v>7</v>
      </c>
    </row>
    <row r="165" spans="1:12" ht="24.95" customHeight="1">
      <c r="A165" s="21">
        <v>45853</v>
      </c>
      <c r="B165" s="20" t="s">
        <v>128</v>
      </c>
      <c r="C165" s="20" t="s">
        <v>233</v>
      </c>
      <c r="D165" s="22">
        <v>23</v>
      </c>
      <c r="E165" s="22">
        <v>1800</v>
      </c>
      <c r="F165" s="22">
        <f t="shared" si="4"/>
        <v>41400</v>
      </c>
      <c r="G165" s="22">
        <v>24840</v>
      </c>
      <c r="H165" s="22">
        <f t="shared" si="5"/>
        <v>16560</v>
      </c>
      <c r="I165" s="20" t="s">
        <v>242</v>
      </c>
      <c r="J165" s="20" t="str">
        <f>TEXT(SalesHistory[[#This Row],[日付]],"yyyy-mm")</f>
        <v>2025-07</v>
      </c>
      <c r="K165" s="35">
        <f>YEAR(SalesHistory[[#This Row],[日付]])</f>
        <v>2025</v>
      </c>
      <c r="L165" s="35">
        <f>MONTH(SalesHistory[[#This Row],[日付]])</f>
        <v>7</v>
      </c>
    </row>
    <row r="166" spans="1:12" ht="24.95" customHeight="1">
      <c r="A166" s="21">
        <v>45863</v>
      </c>
      <c r="B166" s="20" t="s">
        <v>128</v>
      </c>
      <c r="C166" s="20" t="s">
        <v>233</v>
      </c>
      <c r="D166" s="22">
        <v>28</v>
      </c>
      <c r="E166" s="22">
        <v>1800</v>
      </c>
      <c r="F166" s="22">
        <f t="shared" si="4"/>
        <v>50400</v>
      </c>
      <c r="G166" s="22">
        <v>30240</v>
      </c>
      <c r="H166" s="22">
        <f t="shared" si="5"/>
        <v>20160</v>
      </c>
      <c r="I166" s="20" t="s">
        <v>242</v>
      </c>
      <c r="J166" s="20" t="str">
        <f>TEXT(SalesHistory[[#This Row],[日付]],"yyyy-mm")</f>
        <v>2025-07</v>
      </c>
      <c r="K166" s="35">
        <f>YEAR(SalesHistory[[#This Row],[日付]])</f>
        <v>2025</v>
      </c>
      <c r="L166" s="35">
        <f>MONTH(SalesHistory[[#This Row],[日付]])</f>
        <v>7</v>
      </c>
    </row>
    <row r="167" spans="1:12" ht="24.95" customHeight="1">
      <c r="A167" s="21">
        <v>45843</v>
      </c>
      <c r="B167" s="20" t="s">
        <v>128</v>
      </c>
      <c r="C167" s="20" t="s">
        <v>234</v>
      </c>
      <c r="D167" s="22">
        <v>21</v>
      </c>
      <c r="E167" s="22">
        <v>3200</v>
      </c>
      <c r="F167" s="22">
        <f t="shared" si="4"/>
        <v>67200</v>
      </c>
      <c r="G167" s="22">
        <v>44352</v>
      </c>
      <c r="H167" s="22">
        <f t="shared" si="5"/>
        <v>22848</v>
      </c>
      <c r="I167" s="20" t="s">
        <v>242</v>
      </c>
      <c r="J167" s="20" t="str">
        <f>TEXT(SalesHistory[[#This Row],[日付]],"yyyy-mm")</f>
        <v>2025-07</v>
      </c>
      <c r="K167" s="35">
        <f>YEAR(SalesHistory[[#This Row],[日付]])</f>
        <v>2025</v>
      </c>
      <c r="L167" s="35">
        <f>MONTH(SalesHistory[[#This Row],[日付]])</f>
        <v>7</v>
      </c>
    </row>
    <row r="168" spans="1:12" ht="24.95" customHeight="1">
      <c r="A168" s="21">
        <v>45853</v>
      </c>
      <c r="B168" s="20" t="s">
        <v>128</v>
      </c>
      <c r="C168" s="20" t="s">
        <v>234</v>
      </c>
      <c r="D168" s="22">
        <v>26</v>
      </c>
      <c r="E168" s="22">
        <v>3200</v>
      </c>
      <c r="F168" s="22">
        <f t="shared" si="4"/>
        <v>83200</v>
      </c>
      <c r="G168" s="22">
        <v>54912</v>
      </c>
      <c r="H168" s="22">
        <f t="shared" si="5"/>
        <v>28288</v>
      </c>
      <c r="I168" s="20" t="s">
        <v>242</v>
      </c>
      <c r="J168" s="20" t="str">
        <f>TEXT(SalesHistory[[#This Row],[日付]],"yyyy-mm")</f>
        <v>2025-07</v>
      </c>
      <c r="K168" s="35">
        <f>YEAR(SalesHistory[[#This Row],[日付]])</f>
        <v>2025</v>
      </c>
      <c r="L168" s="35">
        <f>MONTH(SalesHistory[[#This Row],[日付]])</f>
        <v>7</v>
      </c>
    </row>
    <row r="169" spans="1:12" ht="24.95" customHeight="1">
      <c r="A169" s="21">
        <v>45863</v>
      </c>
      <c r="B169" s="20" t="s">
        <v>128</v>
      </c>
      <c r="C169" s="20" t="s">
        <v>234</v>
      </c>
      <c r="D169" s="22">
        <v>31</v>
      </c>
      <c r="E169" s="22">
        <v>3200</v>
      </c>
      <c r="F169" s="22">
        <f t="shared" si="4"/>
        <v>99200</v>
      </c>
      <c r="G169" s="22">
        <v>65472</v>
      </c>
      <c r="H169" s="22">
        <f t="shared" si="5"/>
        <v>33728</v>
      </c>
      <c r="I169" s="20" t="s">
        <v>242</v>
      </c>
      <c r="J169" s="20" t="str">
        <f>TEXT(SalesHistory[[#This Row],[日付]],"yyyy-mm")</f>
        <v>2025-07</v>
      </c>
      <c r="K169" s="35">
        <f>YEAR(SalesHistory[[#This Row],[日付]])</f>
        <v>2025</v>
      </c>
      <c r="L169" s="35">
        <f>MONTH(SalesHistory[[#This Row],[日付]])</f>
        <v>7</v>
      </c>
    </row>
    <row r="170" spans="1:12" ht="24.95" customHeight="1">
      <c r="A170" s="21">
        <v>45843</v>
      </c>
      <c r="B170" s="20" t="s">
        <v>128</v>
      </c>
      <c r="C170" s="20" t="s">
        <v>235</v>
      </c>
      <c r="D170" s="22">
        <v>24</v>
      </c>
      <c r="E170" s="22">
        <v>4000</v>
      </c>
      <c r="F170" s="22">
        <f t="shared" si="4"/>
        <v>96000</v>
      </c>
      <c r="G170" s="22">
        <v>69120</v>
      </c>
      <c r="H170" s="22">
        <f t="shared" si="5"/>
        <v>26880</v>
      </c>
      <c r="I170" s="20" t="s">
        <v>242</v>
      </c>
      <c r="J170" s="20" t="str">
        <f>TEXT(SalesHistory[[#This Row],[日付]],"yyyy-mm")</f>
        <v>2025-07</v>
      </c>
      <c r="K170" s="35">
        <f>YEAR(SalesHistory[[#This Row],[日付]])</f>
        <v>2025</v>
      </c>
      <c r="L170" s="35">
        <f>MONTH(SalesHistory[[#This Row],[日付]])</f>
        <v>7</v>
      </c>
    </row>
    <row r="171" spans="1:12" ht="24.95" customHeight="1">
      <c r="A171" s="21">
        <v>45853</v>
      </c>
      <c r="B171" s="20" t="s">
        <v>128</v>
      </c>
      <c r="C171" s="20" t="s">
        <v>235</v>
      </c>
      <c r="D171" s="22">
        <v>29</v>
      </c>
      <c r="E171" s="22">
        <v>4000</v>
      </c>
      <c r="F171" s="22">
        <f t="shared" si="4"/>
        <v>116000</v>
      </c>
      <c r="G171" s="22">
        <v>83520</v>
      </c>
      <c r="H171" s="22">
        <f t="shared" si="5"/>
        <v>32480</v>
      </c>
      <c r="I171" s="20" t="s">
        <v>242</v>
      </c>
      <c r="J171" s="20" t="str">
        <f>TEXT(SalesHistory[[#This Row],[日付]],"yyyy-mm")</f>
        <v>2025-07</v>
      </c>
      <c r="K171" s="35">
        <f>YEAR(SalesHistory[[#This Row],[日付]])</f>
        <v>2025</v>
      </c>
      <c r="L171" s="35">
        <f>MONTH(SalesHistory[[#This Row],[日付]])</f>
        <v>7</v>
      </c>
    </row>
    <row r="172" spans="1:12" ht="24.95" customHeight="1">
      <c r="A172" s="21">
        <v>45863</v>
      </c>
      <c r="B172" s="20" t="s">
        <v>128</v>
      </c>
      <c r="C172" s="20" t="s">
        <v>235</v>
      </c>
      <c r="D172" s="22">
        <v>34</v>
      </c>
      <c r="E172" s="22">
        <v>4000</v>
      </c>
      <c r="F172" s="22">
        <f t="shared" si="4"/>
        <v>136000</v>
      </c>
      <c r="G172" s="22">
        <v>97920</v>
      </c>
      <c r="H172" s="22">
        <f t="shared" si="5"/>
        <v>38080</v>
      </c>
      <c r="I172" s="20" t="s">
        <v>242</v>
      </c>
      <c r="J172" s="20" t="str">
        <f>TEXT(SalesHistory[[#This Row],[日付]],"yyyy-mm")</f>
        <v>2025-07</v>
      </c>
      <c r="K172" s="35">
        <f>YEAR(SalesHistory[[#This Row],[日付]])</f>
        <v>2025</v>
      </c>
      <c r="L172" s="35">
        <f>MONTH(SalesHistory[[#This Row],[日付]])</f>
        <v>7</v>
      </c>
    </row>
    <row r="173" spans="1:12" ht="24.95" customHeight="1">
      <c r="A173" s="21">
        <v>45874</v>
      </c>
      <c r="B173" s="20" t="s">
        <v>2</v>
      </c>
      <c r="C173" s="20" t="s">
        <v>56</v>
      </c>
      <c r="D173" s="22">
        <v>9</v>
      </c>
      <c r="E173" s="22">
        <v>50000</v>
      </c>
      <c r="F173" s="22">
        <f t="shared" si="4"/>
        <v>450000</v>
      </c>
      <c r="G173" s="22">
        <v>297000</v>
      </c>
      <c r="H173" s="22">
        <f t="shared" si="5"/>
        <v>153000</v>
      </c>
      <c r="I173" s="20" t="s">
        <v>242</v>
      </c>
      <c r="J173" s="20" t="str">
        <f>TEXT(SalesHistory[[#This Row],[日付]],"yyyy-mm")</f>
        <v>2025-08</v>
      </c>
      <c r="K173" s="35">
        <f>YEAR(SalesHistory[[#This Row],[日付]])</f>
        <v>2025</v>
      </c>
      <c r="L173" s="35">
        <f>MONTH(SalesHistory[[#This Row],[日付]])</f>
        <v>8</v>
      </c>
    </row>
    <row r="174" spans="1:12" ht="24.95" customHeight="1">
      <c r="A174" s="21">
        <v>45884</v>
      </c>
      <c r="B174" s="20" t="s">
        <v>2</v>
      </c>
      <c r="C174" s="20" t="s">
        <v>56</v>
      </c>
      <c r="D174" s="22">
        <v>14</v>
      </c>
      <c r="E174" s="22">
        <v>50000</v>
      </c>
      <c r="F174" s="22">
        <f t="shared" si="4"/>
        <v>700000</v>
      </c>
      <c r="G174" s="22">
        <v>462000</v>
      </c>
      <c r="H174" s="22">
        <f t="shared" si="5"/>
        <v>238000</v>
      </c>
      <c r="I174" s="20" t="s">
        <v>242</v>
      </c>
      <c r="J174" s="20" t="str">
        <f>TEXT(SalesHistory[[#This Row],[日付]],"yyyy-mm")</f>
        <v>2025-08</v>
      </c>
      <c r="K174" s="35">
        <f>YEAR(SalesHistory[[#This Row],[日付]])</f>
        <v>2025</v>
      </c>
      <c r="L174" s="35">
        <f>MONTH(SalesHistory[[#This Row],[日付]])</f>
        <v>8</v>
      </c>
    </row>
    <row r="175" spans="1:12" ht="24.95" customHeight="1">
      <c r="A175" s="21">
        <v>45894</v>
      </c>
      <c r="B175" s="20" t="s">
        <v>2</v>
      </c>
      <c r="C175" s="20" t="s">
        <v>56</v>
      </c>
      <c r="D175" s="22">
        <v>2</v>
      </c>
      <c r="E175" s="22">
        <v>50000</v>
      </c>
      <c r="F175" s="22">
        <f t="shared" si="4"/>
        <v>100000</v>
      </c>
      <c r="G175" s="22">
        <v>66000</v>
      </c>
      <c r="H175" s="22">
        <f t="shared" si="5"/>
        <v>34000</v>
      </c>
      <c r="I175" s="20" t="s">
        <v>242</v>
      </c>
      <c r="J175" s="20" t="str">
        <f>TEXT(SalesHistory[[#This Row],[日付]],"yyyy-mm")</f>
        <v>2025-08</v>
      </c>
      <c r="K175" s="35">
        <f>YEAR(SalesHistory[[#This Row],[日付]])</f>
        <v>2025</v>
      </c>
      <c r="L175" s="35">
        <f>MONTH(SalesHistory[[#This Row],[日付]])</f>
        <v>8</v>
      </c>
    </row>
    <row r="176" spans="1:12" ht="24.95" customHeight="1">
      <c r="A176" s="21">
        <v>45874</v>
      </c>
      <c r="B176" s="20" t="s">
        <v>2</v>
      </c>
      <c r="C176" s="20" t="s">
        <v>60</v>
      </c>
      <c r="D176" s="22">
        <v>12</v>
      </c>
      <c r="E176" s="22">
        <v>15000</v>
      </c>
      <c r="F176" s="22">
        <f t="shared" si="4"/>
        <v>180000</v>
      </c>
      <c r="G176" s="22">
        <v>129600</v>
      </c>
      <c r="H176" s="22">
        <f t="shared" si="5"/>
        <v>50400</v>
      </c>
      <c r="I176" s="20" t="s">
        <v>242</v>
      </c>
      <c r="J176" s="20" t="str">
        <f>TEXT(SalesHistory[[#This Row],[日付]],"yyyy-mm")</f>
        <v>2025-08</v>
      </c>
      <c r="K176" s="35">
        <f>YEAR(SalesHistory[[#This Row],[日付]])</f>
        <v>2025</v>
      </c>
      <c r="L176" s="35">
        <f>MONTH(SalesHistory[[#This Row],[日付]])</f>
        <v>8</v>
      </c>
    </row>
    <row r="177" spans="1:12" ht="24.95" customHeight="1">
      <c r="A177" s="21">
        <v>45884</v>
      </c>
      <c r="B177" s="20" t="s">
        <v>2</v>
      </c>
      <c r="C177" s="20" t="s">
        <v>60</v>
      </c>
      <c r="D177" s="22">
        <v>17</v>
      </c>
      <c r="E177" s="22">
        <v>15000</v>
      </c>
      <c r="F177" s="22">
        <f t="shared" si="4"/>
        <v>255000</v>
      </c>
      <c r="G177" s="22">
        <v>183600</v>
      </c>
      <c r="H177" s="22">
        <f t="shared" si="5"/>
        <v>71400</v>
      </c>
      <c r="I177" s="20" t="s">
        <v>242</v>
      </c>
      <c r="J177" s="20" t="str">
        <f>TEXT(SalesHistory[[#This Row],[日付]],"yyyy-mm")</f>
        <v>2025-08</v>
      </c>
      <c r="K177" s="35">
        <f>YEAR(SalesHistory[[#This Row],[日付]])</f>
        <v>2025</v>
      </c>
      <c r="L177" s="35">
        <f>MONTH(SalesHistory[[#This Row],[日付]])</f>
        <v>8</v>
      </c>
    </row>
    <row r="178" spans="1:12" ht="24.95" customHeight="1">
      <c r="A178" s="21">
        <v>45894</v>
      </c>
      <c r="B178" s="20" t="s">
        <v>2</v>
      </c>
      <c r="C178" s="20" t="s">
        <v>60</v>
      </c>
      <c r="D178" s="22">
        <v>5</v>
      </c>
      <c r="E178" s="22">
        <v>15000</v>
      </c>
      <c r="F178" s="22">
        <f t="shared" si="4"/>
        <v>75000</v>
      </c>
      <c r="G178" s="22">
        <v>54000</v>
      </c>
      <c r="H178" s="22">
        <f t="shared" si="5"/>
        <v>21000</v>
      </c>
      <c r="I178" s="20" t="s">
        <v>242</v>
      </c>
      <c r="J178" s="20" t="str">
        <f>TEXT(SalesHistory[[#This Row],[日付]],"yyyy-mm")</f>
        <v>2025-08</v>
      </c>
      <c r="K178" s="35">
        <f>YEAR(SalesHistory[[#This Row],[日付]])</f>
        <v>2025</v>
      </c>
      <c r="L178" s="35">
        <f>MONTH(SalesHistory[[#This Row],[日付]])</f>
        <v>8</v>
      </c>
    </row>
    <row r="179" spans="1:12" ht="24.95" customHeight="1">
      <c r="A179" s="21">
        <v>45874</v>
      </c>
      <c r="B179" s="20" t="s">
        <v>2</v>
      </c>
      <c r="C179" s="20" t="s">
        <v>231</v>
      </c>
      <c r="D179" s="22">
        <v>15</v>
      </c>
      <c r="E179" s="22">
        <v>35000</v>
      </c>
      <c r="F179" s="22">
        <f t="shared" si="4"/>
        <v>525000</v>
      </c>
      <c r="G179" s="22">
        <v>252000</v>
      </c>
      <c r="H179" s="22">
        <f t="shared" si="5"/>
        <v>273000</v>
      </c>
      <c r="I179" s="20" t="s">
        <v>242</v>
      </c>
      <c r="J179" s="20" t="str">
        <f>TEXT(SalesHistory[[#This Row],[日付]],"yyyy-mm")</f>
        <v>2025-08</v>
      </c>
      <c r="K179" s="35">
        <f>YEAR(SalesHistory[[#This Row],[日付]])</f>
        <v>2025</v>
      </c>
      <c r="L179" s="35">
        <f>MONTH(SalesHistory[[#This Row],[日付]])</f>
        <v>8</v>
      </c>
    </row>
    <row r="180" spans="1:12" ht="24.95" customHeight="1">
      <c r="A180" s="21">
        <v>45884</v>
      </c>
      <c r="B180" s="20" t="s">
        <v>2</v>
      </c>
      <c r="C180" s="20" t="s">
        <v>231</v>
      </c>
      <c r="D180" s="22">
        <v>3</v>
      </c>
      <c r="E180" s="22">
        <v>35000</v>
      </c>
      <c r="F180" s="22">
        <f t="shared" si="4"/>
        <v>105000</v>
      </c>
      <c r="G180" s="22">
        <v>50400</v>
      </c>
      <c r="H180" s="22">
        <f t="shared" si="5"/>
        <v>54600</v>
      </c>
      <c r="I180" s="20" t="s">
        <v>242</v>
      </c>
      <c r="J180" s="20" t="str">
        <f>TEXT(SalesHistory[[#This Row],[日付]],"yyyy-mm")</f>
        <v>2025-08</v>
      </c>
      <c r="K180" s="35">
        <f>YEAR(SalesHistory[[#This Row],[日付]])</f>
        <v>2025</v>
      </c>
      <c r="L180" s="35">
        <f>MONTH(SalesHistory[[#This Row],[日付]])</f>
        <v>8</v>
      </c>
    </row>
    <row r="181" spans="1:12" ht="24.95" customHeight="1">
      <c r="A181" s="21">
        <v>45894</v>
      </c>
      <c r="B181" s="20" t="s">
        <v>2</v>
      </c>
      <c r="C181" s="20" t="s">
        <v>231</v>
      </c>
      <c r="D181" s="22">
        <v>8</v>
      </c>
      <c r="E181" s="22">
        <v>35000</v>
      </c>
      <c r="F181" s="22">
        <f t="shared" si="4"/>
        <v>280000</v>
      </c>
      <c r="G181" s="22">
        <v>134400</v>
      </c>
      <c r="H181" s="22">
        <f t="shared" si="5"/>
        <v>145600</v>
      </c>
      <c r="I181" s="20" t="s">
        <v>242</v>
      </c>
      <c r="J181" s="20" t="str">
        <f>TEXT(SalesHistory[[#This Row],[日付]],"yyyy-mm")</f>
        <v>2025-08</v>
      </c>
      <c r="K181" s="35">
        <f>YEAR(SalesHistory[[#This Row],[日付]])</f>
        <v>2025</v>
      </c>
      <c r="L181" s="35">
        <f>MONTH(SalesHistory[[#This Row],[日付]])</f>
        <v>8</v>
      </c>
    </row>
    <row r="182" spans="1:12" ht="24.95" customHeight="1">
      <c r="A182" s="21">
        <v>45874</v>
      </c>
      <c r="B182" s="20" t="s">
        <v>2</v>
      </c>
      <c r="C182" s="20" t="s">
        <v>232</v>
      </c>
      <c r="D182" s="22">
        <v>18</v>
      </c>
      <c r="E182" s="22">
        <v>2500</v>
      </c>
      <c r="F182" s="22">
        <f t="shared" si="4"/>
        <v>45000</v>
      </c>
      <c r="G182" s="22">
        <v>24300</v>
      </c>
      <c r="H182" s="22">
        <f t="shared" si="5"/>
        <v>20700</v>
      </c>
      <c r="I182" s="20" t="s">
        <v>242</v>
      </c>
      <c r="J182" s="20" t="str">
        <f>TEXT(SalesHistory[[#This Row],[日付]],"yyyy-mm")</f>
        <v>2025-08</v>
      </c>
      <c r="K182" s="35">
        <f>YEAR(SalesHistory[[#This Row],[日付]])</f>
        <v>2025</v>
      </c>
      <c r="L182" s="35">
        <f>MONTH(SalesHistory[[#This Row],[日付]])</f>
        <v>8</v>
      </c>
    </row>
    <row r="183" spans="1:12" ht="24.95" customHeight="1">
      <c r="A183" s="21">
        <v>45884</v>
      </c>
      <c r="B183" s="20" t="s">
        <v>2</v>
      </c>
      <c r="C183" s="20" t="s">
        <v>232</v>
      </c>
      <c r="D183" s="22">
        <v>6</v>
      </c>
      <c r="E183" s="22">
        <v>2500</v>
      </c>
      <c r="F183" s="22">
        <f t="shared" si="4"/>
        <v>15000</v>
      </c>
      <c r="G183" s="22">
        <v>8100</v>
      </c>
      <c r="H183" s="22">
        <f t="shared" si="5"/>
        <v>6900</v>
      </c>
      <c r="I183" s="20" t="s">
        <v>242</v>
      </c>
      <c r="J183" s="20" t="str">
        <f>TEXT(SalesHistory[[#This Row],[日付]],"yyyy-mm")</f>
        <v>2025-08</v>
      </c>
      <c r="K183" s="35">
        <f>YEAR(SalesHistory[[#This Row],[日付]])</f>
        <v>2025</v>
      </c>
      <c r="L183" s="35">
        <f>MONTH(SalesHistory[[#This Row],[日付]])</f>
        <v>8</v>
      </c>
    </row>
    <row r="184" spans="1:12" ht="24.95" customHeight="1">
      <c r="A184" s="21">
        <v>45894</v>
      </c>
      <c r="B184" s="20" t="s">
        <v>2</v>
      </c>
      <c r="C184" s="20" t="s">
        <v>232</v>
      </c>
      <c r="D184" s="22">
        <v>11</v>
      </c>
      <c r="E184" s="22">
        <v>2500</v>
      </c>
      <c r="F184" s="22">
        <f t="shared" si="4"/>
        <v>27500</v>
      </c>
      <c r="G184" s="22">
        <v>14850</v>
      </c>
      <c r="H184" s="22">
        <f t="shared" si="5"/>
        <v>12650</v>
      </c>
      <c r="I184" s="20" t="s">
        <v>242</v>
      </c>
      <c r="J184" s="20" t="str">
        <f>TEXT(SalesHistory[[#This Row],[日付]],"yyyy-mm")</f>
        <v>2025-08</v>
      </c>
      <c r="K184" s="35">
        <f>YEAR(SalesHistory[[#This Row],[日付]])</f>
        <v>2025</v>
      </c>
      <c r="L184" s="35">
        <f>MONTH(SalesHistory[[#This Row],[日付]])</f>
        <v>8</v>
      </c>
    </row>
    <row r="185" spans="1:12" ht="24.95" customHeight="1">
      <c r="A185" s="21">
        <v>45874</v>
      </c>
      <c r="B185" s="20" t="s">
        <v>128</v>
      </c>
      <c r="C185" s="20" t="s">
        <v>148</v>
      </c>
      <c r="D185" s="22">
        <v>22</v>
      </c>
      <c r="E185" s="22">
        <v>2000</v>
      </c>
      <c r="F185" s="22">
        <f t="shared" si="4"/>
        <v>44000</v>
      </c>
      <c r="G185" s="22">
        <v>26400</v>
      </c>
      <c r="H185" s="22">
        <f t="shared" si="5"/>
        <v>17600</v>
      </c>
      <c r="I185" s="20" t="s">
        <v>242</v>
      </c>
      <c r="J185" s="20" t="str">
        <f>TEXT(SalesHistory[[#This Row],[日付]],"yyyy-mm")</f>
        <v>2025-08</v>
      </c>
      <c r="K185" s="35">
        <f>YEAR(SalesHistory[[#This Row],[日付]])</f>
        <v>2025</v>
      </c>
      <c r="L185" s="35">
        <f>MONTH(SalesHistory[[#This Row],[日付]])</f>
        <v>8</v>
      </c>
    </row>
    <row r="186" spans="1:12" ht="24.95" customHeight="1">
      <c r="A186" s="21">
        <v>45884</v>
      </c>
      <c r="B186" s="20" t="s">
        <v>128</v>
      </c>
      <c r="C186" s="20" t="s">
        <v>148</v>
      </c>
      <c r="D186" s="22">
        <v>27</v>
      </c>
      <c r="E186" s="22">
        <v>2000</v>
      </c>
      <c r="F186" s="22">
        <f t="shared" si="4"/>
        <v>54000</v>
      </c>
      <c r="G186" s="22">
        <v>32400</v>
      </c>
      <c r="H186" s="22">
        <f t="shared" si="5"/>
        <v>21600</v>
      </c>
      <c r="I186" s="20" t="s">
        <v>242</v>
      </c>
      <c r="J186" s="20" t="str">
        <f>TEXT(SalesHistory[[#This Row],[日付]],"yyyy-mm")</f>
        <v>2025-08</v>
      </c>
      <c r="K186" s="35">
        <f>YEAR(SalesHistory[[#This Row],[日付]])</f>
        <v>2025</v>
      </c>
      <c r="L186" s="35">
        <f>MONTH(SalesHistory[[#This Row],[日付]])</f>
        <v>8</v>
      </c>
    </row>
    <row r="187" spans="1:12" ht="24.95" customHeight="1">
      <c r="A187" s="21">
        <v>45894</v>
      </c>
      <c r="B187" s="20" t="s">
        <v>128</v>
      </c>
      <c r="C187" s="20" t="s">
        <v>148</v>
      </c>
      <c r="D187" s="22">
        <v>32</v>
      </c>
      <c r="E187" s="22">
        <v>2000</v>
      </c>
      <c r="F187" s="22">
        <f t="shared" si="4"/>
        <v>64000</v>
      </c>
      <c r="G187" s="22">
        <v>38400</v>
      </c>
      <c r="H187" s="22">
        <f t="shared" si="5"/>
        <v>25600</v>
      </c>
      <c r="I187" s="20" t="s">
        <v>242</v>
      </c>
      <c r="J187" s="20" t="str">
        <f>TEXT(SalesHistory[[#This Row],[日付]],"yyyy-mm")</f>
        <v>2025-08</v>
      </c>
      <c r="K187" s="35">
        <f>YEAR(SalesHistory[[#This Row],[日付]])</f>
        <v>2025</v>
      </c>
      <c r="L187" s="35">
        <f>MONTH(SalesHistory[[#This Row],[日付]])</f>
        <v>8</v>
      </c>
    </row>
    <row r="188" spans="1:12" ht="24.95" customHeight="1">
      <c r="A188" s="21">
        <v>45874</v>
      </c>
      <c r="B188" s="20" t="s">
        <v>128</v>
      </c>
      <c r="C188" s="20" t="s">
        <v>233</v>
      </c>
      <c r="D188" s="22">
        <v>25</v>
      </c>
      <c r="E188" s="22">
        <v>1800</v>
      </c>
      <c r="F188" s="22">
        <f t="shared" si="4"/>
        <v>45000</v>
      </c>
      <c r="G188" s="22">
        <v>29700</v>
      </c>
      <c r="H188" s="22">
        <f t="shared" si="5"/>
        <v>15300</v>
      </c>
      <c r="I188" s="20" t="s">
        <v>242</v>
      </c>
      <c r="J188" s="20" t="str">
        <f>TEXT(SalesHistory[[#This Row],[日付]],"yyyy-mm")</f>
        <v>2025-08</v>
      </c>
      <c r="K188" s="35">
        <f>YEAR(SalesHistory[[#This Row],[日付]])</f>
        <v>2025</v>
      </c>
      <c r="L188" s="35">
        <f>MONTH(SalesHistory[[#This Row],[日付]])</f>
        <v>8</v>
      </c>
    </row>
    <row r="189" spans="1:12" ht="24.95" customHeight="1">
      <c r="A189" s="21">
        <v>45884</v>
      </c>
      <c r="B189" s="20" t="s">
        <v>128</v>
      </c>
      <c r="C189" s="20" t="s">
        <v>233</v>
      </c>
      <c r="D189" s="22">
        <v>30</v>
      </c>
      <c r="E189" s="22">
        <v>1800</v>
      </c>
      <c r="F189" s="22">
        <f t="shared" si="4"/>
        <v>54000</v>
      </c>
      <c r="G189" s="22">
        <v>35640</v>
      </c>
      <c r="H189" s="22">
        <f t="shared" si="5"/>
        <v>18360</v>
      </c>
      <c r="I189" s="20" t="s">
        <v>242</v>
      </c>
      <c r="J189" s="20" t="str">
        <f>TEXT(SalesHistory[[#This Row],[日付]],"yyyy-mm")</f>
        <v>2025-08</v>
      </c>
      <c r="K189" s="35">
        <f>YEAR(SalesHistory[[#This Row],[日付]])</f>
        <v>2025</v>
      </c>
      <c r="L189" s="35">
        <f>MONTH(SalesHistory[[#This Row],[日付]])</f>
        <v>8</v>
      </c>
    </row>
    <row r="190" spans="1:12" ht="24.95" customHeight="1">
      <c r="A190" s="21">
        <v>45894</v>
      </c>
      <c r="B190" s="20" t="s">
        <v>128</v>
      </c>
      <c r="C190" s="20" t="s">
        <v>233</v>
      </c>
      <c r="D190" s="22">
        <v>35</v>
      </c>
      <c r="E190" s="22">
        <v>1800</v>
      </c>
      <c r="F190" s="22">
        <f t="shared" si="4"/>
        <v>63000</v>
      </c>
      <c r="G190" s="22">
        <v>41580</v>
      </c>
      <c r="H190" s="22">
        <f t="shared" si="5"/>
        <v>21420</v>
      </c>
      <c r="I190" s="20" t="s">
        <v>242</v>
      </c>
      <c r="J190" s="20" t="str">
        <f>TEXT(SalesHistory[[#This Row],[日付]],"yyyy-mm")</f>
        <v>2025-08</v>
      </c>
      <c r="K190" s="35">
        <f>YEAR(SalesHistory[[#This Row],[日付]])</f>
        <v>2025</v>
      </c>
      <c r="L190" s="35">
        <f>MONTH(SalesHistory[[#This Row],[日付]])</f>
        <v>8</v>
      </c>
    </row>
    <row r="191" spans="1:12" ht="24.95" customHeight="1">
      <c r="A191" s="21">
        <v>45874</v>
      </c>
      <c r="B191" s="20" t="s">
        <v>128</v>
      </c>
      <c r="C191" s="20" t="s">
        <v>234</v>
      </c>
      <c r="D191" s="22">
        <v>28</v>
      </c>
      <c r="E191" s="22">
        <v>3200</v>
      </c>
      <c r="F191" s="22">
        <f t="shared" si="4"/>
        <v>89600</v>
      </c>
      <c r="G191" s="22">
        <v>64512</v>
      </c>
      <c r="H191" s="22">
        <f t="shared" si="5"/>
        <v>25088</v>
      </c>
      <c r="I191" s="20" t="s">
        <v>242</v>
      </c>
      <c r="J191" s="20" t="str">
        <f>TEXT(SalesHistory[[#This Row],[日付]],"yyyy-mm")</f>
        <v>2025-08</v>
      </c>
      <c r="K191" s="35">
        <f>YEAR(SalesHistory[[#This Row],[日付]])</f>
        <v>2025</v>
      </c>
      <c r="L191" s="35">
        <f>MONTH(SalesHistory[[#This Row],[日付]])</f>
        <v>8</v>
      </c>
    </row>
    <row r="192" spans="1:12" ht="24.95" customHeight="1">
      <c r="A192" s="21">
        <v>45884</v>
      </c>
      <c r="B192" s="20" t="s">
        <v>128</v>
      </c>
      <c r="C192" s="20" t="s">
        <v>234</v>
      </c>
      <c r="D192" s="22">
        <v>33</v>
      </c>
      <c r="E192" s="22">
        <v>3200</v>
      </c>
      <c r="F192" s="22">
        <f t="shared" si="4"/>
        <v>105600</v>
      </c>
      <c r="G192" s="22">
        <v>76032</v>
      </c>
      <c r="H192" s="22">
        <f t="shared" si="5"/>
        <v>29568</v>
      </c>
      <c r="I192" s="20" t="s">
        <v>242</v>
      </c>
      <c r="J192" s="20" t="str">
        <f>TEXT(SalesHistory[[#This Row],[日付]],"yyyy-mm")</f>
        <v>2025-08</v>
      </c>
      <c r="K192" s="35">
        <f>YEAR(SalesHistory[[#This Row],[日付]])</f>
        <v>2025</v>
      </c>
      <c r="L192" s="35">
        <f>MONTH(SalesHistory[[#This Row],[日付]])</f>
        <v>8</v>
      </c>
    </row>
    <row r="193" spans="1:12" ht="24.95" customHeight="1">
      <c r="A193" s="21">
        <v>45894</v>
      </c>
      <c r="B193" s="20" t="s">
        <v>128</v>
      </c>
      <c r="C193" s="20" t="s">
        <v>234</v>
      </c>
      <c r="D193" s="22">
        <v>21</v>
      </c>
      <c r="E193" s="22">
        <v>3200</v>
      </c>
      <c r="F193" s="22">
        <f t="shared" si="4"/>
        <v>67200</v>
      </c>
      <c r="G193" s="22">
        <v>48384</v>
      </c>
      <c r="H193" s="22">
        <f t="shared" si="5"/>
        <v>18816</v>
      </c>
      <c r="I193" s="20" t="s">
        <v>242</v>
      </c>
      <c r="J193" s="20" t="str">
        <f>TEXT(SalesHistory[[#This Row],[日付]],"yyyy-mm")</f>
        <v>2025-08</v>
      </c>
      <c r="K193" s="35">
        <f>YEAR(SalesHistory[[#This Row],[日付]])</f>
        <v>2025</v>
      </c>
      <c r="L193" s="35">
        <f>MONTH(SalesHistory[[#This Row],[日付]])</f>
        <v>8</v>
      </c>
    </row>
    <row r="194" spans="1:12" ht="24.95" customHeight="1">
      <c r="A194" s="21">
        <v>45874</v>
      </c>
      <c r="B194" s="20" t="s">
        <v>128</v>
      </c>
      <c r="C194" s="20" t="s">
        <v>235</v>
      </c>
      <c r="D194" s="22">
        <v>31</v>
      </c>
      <c r="E194" s="22">
        <v>4000</v>
      </c>
      <c r="F194" s="22">
        <f t="shared" si="4"/>
        <v>124000</v>
      </c>
      <c r="G194" s="22">
        <v>59520</v>
      </c>
      <c r="H194" s="22">
        <f t="shared" si="5"/>
        <v>64480</v>
      </c>
      <c r="I194" s="20" t="s">
        <v>242</v>
      </c>
      <c r="J194" s="20" t="str">
        <f>TEXT(SalesHistory[[#This Row],[日付]],"yyyy-mm")</f>
        <v>2025-08</v>
      </c>
      <c r="K194" s="35">
        <f>YEAR(SalesHistory[[#This Row],[日付]])</f>
        <v>2025</v>
      </c>
      <c r="L194" s="35">
        <f>MONTH(SalesHistory[[#This Row],[日付]])</f>
        <v>8</v>
      </c>
    </row>
    <row r="195" spans="1:12" ht="24.95" customHeight="1">
      <c r="A195" s="21">
        <v>45884</v>
      </c>
      <c r="B195" s="20" t="s">
        <v>128</v>
      </c>
      <c r="C195" s="20" t="s">
        <v>235</v>
      </c>
      <c r="D195" s="22">
        <v>36</v>
      </c>
      <c r="E195" s="22">
        <v>4000</v>
      </c>
      <c r="F195" s="22">
        <f t="shared" si="4"/>
        <v>144000</v>
      </c>
      <c r="G195" s="22">
        <v>69120</v>
      </c>
      <c r="H195" s="22">
        <f t="shared" si="5"/>
        <v>74880</v>
      </c>
      <c r="I195" s="20" t="s">
        <v>242</v>
      </c>
      <c r="J195" s="20" t="str">
        <f>TEXT(SalesHistory[[#This Row],[日付]],"yyyy-mm")</f>
        <v>2025-08</v>
      </c>
      <c r="K195" s="35">
        <f>YEAR(SalesHistory[[#This Row],[日付]])</f>
        <v>2025</v>
      </c>
      <c r="L195" s="35">
        <f>MONTH(SalesHistory[[#This Row],[日付]])</f>
        <v>8</v>
      </c>
    </row>
    <row r="196" spans="1:12" ht="24.95" customHeight="1">
      <c r="A196" s="21">
        <v>45894</v>
      </c>
      <c r="B196" s="20" t="s">
        <v>128</v>
      </c>
      <c r="C196" s="20" t="s">
        <v>235</v>
      </c>
      <c r="D196" s="22">
        <v>24</v>
      </c>
      <c r="E196" s="22">
        <v>4000</v>
      </c>
      <c r="F196" s="22">
        <f t="shared" si="4"/>
        <v>96000</v>
      </c>
      <c r="G196" s="22">
        <v>46080</v>
      </c>
      <c r="H196" s="22">
        <f t="shared" si="5"/>
        <v>49920</v>
      </c>
      <c r="I196" s="20" t="s">
        <v>242</v>
      </c>
      <c r="J196" s="20" t="str">
        <f>TEXT(SalesHistory[[#This Row],[日付]],"yyyy-mm")</f>
        <v>2025-08</v>
      </c>
      <c r="K196" s="35">
        <f>YEAR(SalesHistory[[#This Row],[日付]])</f>
        <v>2025</v>
      </c>
      <c r="L196" s="35">
        <f>MONTH(SalesHistory[[#This Row],[日付]])</f>
        <v>8</v>
      </c>
    </row>
    <row r="197" spans="1:12" ht="24.95" customHeight="1">
      <c r="A197" s="21">
        <v>45905</v>
      </c>
      <c r="B197" s="20" t="s">
        <v>2</v>
      </c>
      <c r="C197" s="20" t="s">
        <v>56</v>
      </c>
      <c r="D197" s="22">
        <v>16</v>
      </c>
      <c r="E197" s="22">
        <v>50000</v>
      </c>
      <c r="F197" s="22">
        <f t="shared" ref="F197:F260" si="6">ROUND(D197*E197,0)</f>
        <v>800000</v>
      </c>
      <c r="G197" s="22">
        <v>576000</v>
      </c>
      <c r="H197" s="22">
        <f t="shared" ref="H197:H260" si="7">F197-G197</f>
        <v>224000</v>
      </c>
      <c r="I197" s="20" t="s">
        <v>242</v>
      </c>
      <c r="J197" s="20" t="str">
        <f>TEXT(SalesHistory[[#This Row],[日付]],"yyyy-mm")</f>
        <v>2025-09</v>
      </c>
      <c r="K197" s="35">
        <f>YEAR(SalesHistory[[#This Row],[日付]])</f>
        <v>2025</v>
      </c>
      <c r="L197" s="35">
        <f>MONTH(SalesHistory[[#This Row],[日付]])</f>
        <v>9</v>
      </c>
    </row>
    <row r="198" spans="1:12" ht="24.95" customHeight="1">
      <c r="A198" s="21">
        <v>45915</v>
      </c>
      <c r="B198" s="20" t="s">
        <v>2</v>
      </c>
      <c r="C198" s="20" t="s">
        <v>56</v>
      </c>
      <c r="D198" s="22">
        <v>4</v>
      </c>
      <c r="E198" s="22">
        <v>50000</v>
      </c>
      <c r="F198" s="22">
        <f t="shared" si="6"/>
        <v>200000</v>
      </c>
      <c r="G198" s="22">
        <v>144000</v>
      </c>
      <c r="H198" s="22">
        <f t="shared" si="7"/>
        <v>56000</v>
      </c>
      <c r="I198" s="20" t="s">
        <v>242</v>
      </c>
      <c r="J198" s="20" t="str">
        <f>TEXT(SalesHistory[[#This Row],[日付]],"yyyy-mm")</f>
        <v>2025-09</v>
      </c>
      <c r="K198" s="35">
        <f>YEAR(SalesHistory[[#This Row],[日付]])</f>
        <v>2025</v>
      </c>
      <c r="L198" s="35">
        <f>MONTH(SalesHistory[[#This Row],[日付]])</f>
        <v>9</v>
      </c>
    </row>
    <row r="199" spans="1:12" ht="24.95" customHeight="1">
      <c r="A199" s="21">
        <v>45925</v>
      </c>
      <c r="B199" s="20" t="s">
        <v>2</v>
      </c>
      <c r="C199" s="20" t="s">
        <v>56</v>
      </c>
      <c r="D199" s="22">
        <v>9</v>
      </c>
      <c r="E199" s="22">
        <v>50000</v>
      </c>
      <c r="F199" s="22">
        <f t="shared" si="6"/>
        <v>450000</v>
      </c>
      <c r="G199" s="22">
        <v>324000</v>
      </c>
      <c r="H199" s="22">
        <f t="shared" si="7"/>
        <v>126000</v>
      </c>
      <c r="I199" s="20" t="s">
        <v>242</v>
      </c>
      <c r="J199" s="20" t="str">
        <f>TEXT(SalesHistory[[#This Row],[日付]],"yyyy-mm")</f>
        <v>2025-09</v>
      </c>
      <c r="K199" s="35">
        <f>YEAR(SalesHistory[[#This Row],[日付]])</f>
        <v>2025</v>
      </c>
      <c r="L199" s="35">
        <f>MONTH(SalesHistory[[#This Row],[日付]])</f>
        <v>9</v>
      </c>
    </row>
    <row r="200" spans="1:12" ht="24.95" customHeight="1">
      <c r="A200" s="21">
        <v>45905</v>
      </c>
      <c r="B200" s="20" t="s">
        <v>2</v>
      </c>
      <c r="C200" s="20" t="s">
        <v>60</v>
      </c>
      <c r="D200" s="22">
        <v>2</v>
      </c>
      <c r="E200" s="22">
        <v>15000</v>
      </c>
      <c r="F200" s="22">
        <f t="shared" si="6"/>
        <v>30000</v>
      </c>
      <c r="G200" s="22">
        <v>14400</v>
      </c>
      <c r="H200" s="22">
        <f t="shared" si="7"/>
        <v>15600</v>
      </c>
      <c r="I200" s="20" t="s">
        <v>242</v>
      </c>
      <c r="J200" s="20" t="str">
        <f>TEXT(SalesHistory[[#This Row],[日付]],"yyyy-mm")</f>
        <v>2025-09</v>
      </c>
      <c r="K200" s="35">
        <f>YEAR(SalesHistory[[#This Row],[日付]])</f>
        <v>2025</v>
      </c>
      <c r="L200" s="35">
        <f>MONTH(SalesHistory[[#This Row],[日付]])</f>
        <v>9</v>
      </c>
    </row>
    <row r="201" spans="1:12" ht="24.95" customHeight="1">
      <c r="A201" s="21">
        <v>45915</v>
      </c>
      <c r="B201" s="20" t="s">
        <v>2</v>
      </c>
      <c r="C201" s="20" t="s">
        <v>60</v>
      </c>
      <c r="D201" s="22">
        <v>7</v>
      </c>
      <c r="E201" s="22">
        <v>15000</v>
      </c>
      <c r="F201" s="22">
        <f t="shared" si="6"/>
        <v>105000</v>
      </c>
      <c r="G201" s="22">
        <v>50400</v>
      </c>
      <c r="H201" s="22">
        <f t="shared" si="7"/>
        <v>54600</v>
      </c>
      <c r="I201" s="20" t="s">
        <v>242</v>
      </c>
      <c r="J201" s="20" t="str">
        <f>TEXT(SalesHistory[[#This Row],[日付]],"yyyy-mm")</f>
        <v>2025-09</v>
      </c>
      <c r="K201" s="35">
        <f>YEAR(SalesHistory[[#This Row],[日付]])</f>
        <v>2025</v>
      </c>
      <c r="L201" s="35">
        <f>MONTH(SalesHistory[[#This Row],[日付]])</f>
        <v>9</v>
      </c>
    </row>
    <row r="202" spans="1:12" ht="24.95" customHeight="1">
      <c r="A202" s="21">
        <v>45925</v>
      </c>
      <c r="B202" s="20" t="s">
        <v>2</v>
      </c>
      <c r="C202" s="20" t="s">
        <v>60</v>
      </c>
      <c r="D202" s="22">
        <v>12</v>
      </c>
      <c r="E202" s="22">
        <v>15000</v>
      </c>
      <c r="F202" s="22">
        <f t="shared" si="6"/>
        <v>180000</v>
      </c>
      <c r="G202" s="22">
        <v>86400</v>
      </c>
      <c r="H202" s="22">
        <f t="shared" si="7"/>
        <v>93600</v>
      </c>
      <c r="I202" s="20" t="s">
        <v>242</v>
      </c>
      <c r="J202" s="20" t="str">
        <f>TEXT(SalesHistory[[#This Row],[日付]],"yyyy-mm")</f>
        <v>2025-09</v>
      </c>
      <c r="K202" s="35">
        <f>YEAR(SalesHistory[[#This Row],[日付]])</f>
        <v>2025</v>
      </c>
      <c r="L202" s="35">
        <f>MONTH(SalesHistory[[#This Row],[日付]])</f>
        <v>9</v>
      </c>
    </row>
    <row r="203" spans="1:12" ht="24.95" customHeight="1">
      <c r="A203" s="21">
        <v>45905</v>
      </c>
      <c r="B203" s="20" t="s">
        <v>2</v>
      </c>
      <c r="C203" s="20" t="s">
        <v>231</v>
      </c>
      <c r="D203" s="22">
        <v>5</v>
      </c>
      <c r="E203" s="22">
        <v>35000</v>
      </c>
      <c r="F203" s="22">
        <f t="shared" si="6"/>
        <v>175000</v>
      </c>
      <c r="G203" s="22">
        <v>94500</v>
      </c>
      <c r="H203" s="22">
        <f t="shared" si="7"/>
        <v>80500</v>
      </c>
      <c r="I203" s="20" t="s">
        <v>242</v>
      </c>
      <c r="J203" s="20" t="str">
        <f>TEXT(SalesHistory[[#This Row],[日付]],"yyyy-mm")</f>
        <v>2025-09</v>
      </c>
      <c r="K203" s="35">
        <f>YEAR(SalesHistory[[#This Row],[日付]])</f>
        <v>2025</v>
      </c>
      <c r="L203" s="35">
        <f>MONTH(SalesHistory[[#This Row],[日付]])</f>
        <v>9</v>
      </c>
    </row>
    <row r="204" spans="1:12" ht="24.95" customHeight="1">
      <c r="A204" s="21">
        <v>45915</v>
      </c>
      <c r="B204" s="20" t="s">
        <v>2</v>
      </c>
      <c r="C204" s="20" t="s">
        <v>231</v>
      </c>
      <c r="D204" s="22">
        <v>10</v>
      </c>
      <c r="E204" s="22">
        <v>35000</v>
      </c>
      <c r="F204" s="22">
        <f t="shared" si="6"/>
        <v>350000</v>
      </c>
      <c r="G204" s="22">
        <v>189000</v>
      </c>
      <c r="H204" s="22">
        <f t="shared" si="7"/>
        <v>161000</v>
      </c>
      <c r="I204" s="20" t="s">
        <v>242</v>
      </c>
      <c r="J204" s="20" t="str">
        <f>TEXT(SalesHistory[[#This Row],[日付]],"yyyy-mm")</f>
        <v>2025-09</v>
      </c>
      <c r="K204" s="35">
        <f>YEAR(SalesHistory[[#This Row],[日付]])</f>
        <v>2025</v>
      </c>
      <c r="L204" s="35">
        <f>MONTH(SalesHistory[[#This Row],[日付]])</f>
        <v>9</v>
      </c>
    </row>
    <row r="205" spans="1:12" ht="24.95" customHeight="1">
      <c r="A205" s="21">
        <v>45925</v>
      </c>
      <c r="B205" s="20" t="s">
        <v>2</v>
      </c>
      <c r="C205" s="20" t="s">
        <v>231</v>
      </c>
      <c r="D205" s="22">
        <v>15</v>
      </c>
      <c r="E205" s="22">
        <v>35000</v>
      </c>
      <c r="F205" s="22">
        <f t="shared" si="6"/>
        <v>525000</v>
      </c>
      <c r="G205" s="22">
        <v>283500</v>
      </c>
      <c r="H205" s="22">
        <f t="shared" si="7"/>
        <v>241500</v>
      </c>
      <c r="I205" s="20" t="s">
        <v>242</v>
      </c>
      <c r="J205" s="20" t="str">
        <f>TEXT(SalesHistory[[#This Row],[日付]],"yyyy-mm")</f>
        <v>2025-09</v>
      </c>
      <c r="K205" s="35">
        <f>YEAR(SalesHistory[[#This Row],[日付]])</f>
        <v>2025</v>
      </c>
      <c r="L205" s="35">
        <f>MONTH(SalesHistory[[#This Row],[日付]])</f>
        <v>9</v>
      </c>
    </row>
    <row r="206" spans="1:12" ht="24.95" customHeight="1">
      <c r="A206" s="21">
        <v>45905</v>
      </c>
      <c r="B206" s="20" t="s">
        <v>2</v>
      </c>
      <c r="C206" s="20" t="s">
        <v>232</v>
      </c>
      <c r="D206" s="22">
        <v>8</v>
      </c>
      <c r="E206" s="22">
        <v>2500</v>
      </c>
      <c r="F206" s="22">
        <f t="shared" si="6"/>
        <v>20000</v>
      </c>
      <c r="G206" s="22">
        <v>12000</v>
      </c>
      <c r="H206" s="22">
        <f t="shared" si="7"/>
        <v>8000</v>
      </c>
      <c r="I206" s="20" t="s">
        <v>242</v>
      </c>
      <c r="J206" s="20" t="str">
        <f>TEXT(SalesHistory[[#This Row],[日付]],"yyyy-mm")</f>
        <v>2025-09</v>
      </c>
      <c r="K206" s="35">
        <f>YEAR(SalesHistory[[#This Row],[日付]])</f>
        <v>2025</v>
      </c>
      <c r="L206" s="35">
        <f>MONTH(SalesHistory[[#This Row],[日付]])</f>
        <v>9</v>
      </c>
    </row>
    <row r="207" spans="1:12" ht="24.95" customHeight="1">
      <c r="A207" s="21">
        <v>45915</v>
      </c>
      <c r="B207" s="20" t="s">
        <v>2</v>
      </c>
      <c r="C207" s="20" t="s">
        <v>232</v>
      </c>
      <c r="D207" s="22">
        <v>13</v>
      </c>
      <c r="E207" s="22">
        <v>2500</v>
      </c>
      <c r="F207" s="22">
        <f t="shared" si="6"/>
        <v>32500</v>
      </c>
      <c r="G207" s="22">
        <v>19500</v>
      </c>
      <c r="H207" s="22">
        <f t="shared" si="7"/>
        <v>13000</v>
      </c>
      <c r="I207" s="20" t="s">
        <v>242</v>
      </c>
      <c r="J207" s="20" t="str">
        <f>TEXT(SalesHistory[[#This Row],[日付]],"yyyy-mm")</f>
        <v>2025-09</v>
      </c>
      <c r="K207" s="35">
        <f>YEAR(SalesHistory[[#This Row],[日付]])</f>
        <v>2025</v>
      </c>
      <c r="L207" s="35">
        <f>MONTH(SalesHistory[[#This Row],[日付]])</f>
        <v>9</v>
      </c>
    </row>
    <row r="208" spans="1:12" ht="24.95" customHeight="1">
      <c r="A208" s="21">
        <v>45925</v>
      </c>
      <c r="B208" s="20" t="s">
        <v>2</v>
      </c>
      <c r="C208" s="20" t="s">
        <v>232</v>
      </c>
      <c r="D208" s="22">
        <v>18</v>
      </c>
      <c r="E208" s="22">
        <v>2500</v>
      </c>
      <c r="F208" s="22">
        <f t="shared" si="6"/>
        <v>45000</v>
      </c>
      <c r="G208" s="22">
        <v>27000</v>
      </c>
      <c r="H208" s="22">
        <f t="shared" si="7"/>
        <v>18000</v>
      </c>
      <c r="I208" s="20" t="s">
        <v>242</v>
      </c>
      <c r="J208" s="20" t="str">
        <f>TEXT(SalesHistory[[#This Row],[日付]],"yyyy-mm")</f>
        <v>2025-09</v>
      </c>
      <c r="K208" s="35">
        <f>YEAR(SalesHistory[[#This Row],[日付]])</f>
        <v>2025</v>
      </c>
      <c r="L208" s="35">
        <f>MONTH(SalesHistory[[#This Row],[日付]])</f>
        <v>9</v>
      </c>
    </row>
    <row r="209" spans="1:12" ht="24.95" customHeight="1">
      <c r="A209" s="21">
        <v>45905</v>
      </c>
      <c r="B209" s="20" t="s">
        <v>128</v>
      </c>
      <c r="C209" s="20" t="s">
        <v>148</v>
      </c>
      <c r="D209" s="22">
        <v>29</v>
      </c>
      <c r="E209" s="22">
        <v>2000</v>
      </c>
      <c r="F209" s="22">
        <f t="shared" si="6"/>
        <v>58000</v>
      </c>
      <c r="G209" s="22">
        <v>38280</v>
      </c>
      <c r="H209" s="22">
        <f t="shared" si="7"/>
        <v>19720</v>
      </c>
      <c r="I209" s="20" t="s">
        <v>242</v>
      </c>
      <c r="J209" s="20" t="str">
        <f>TEXT(SalesHistory[[#This Row],[日付]],"yyyy-mm")</f>
        <v>2025-09</v>
      </c>
      <c r="K209" s="35">
        <f>YEAR(SalesHistory[[#This Row],[日付]])</f>
        <v>2025</v>
      </c>
      <c r="L209" s="35">
        <f>MONTH(SalesHistory[[#This Row],[日付]])</f>
        <v>9</v>
      </c>
    </row>
    <row r="210" spans="1:12" ht="24.95" customHeight="1">
      <c r="A210" s="21">
        <v>45915</v>
      </c>
      <c r="B210" s="20" t="s">
        <v>128</v>
      </c>
      <c r="C210" s="20" t="s">
        <v>148</v>
      </c>
      <c r="D210" s="22">
        <v>34</v>
      </c>
      <c r="E210" s="22">
        <v>2000</v>
      </c>
      <c r="F210" s="22">
        <f t="shared" si="6"/>
        <v>68000</v>
      </c>
      <c r="G210" s="22">
        <v>44880</v>
      </c>
      <c r="H210" s="22">
        <f t="shared" si="7"/>
        <v>23120</v>
      </c>
      <c r="I210" s="20" t="s">
        <v>242</v>
      </c>
      <c r="J210" s="20" t="str">
        <f>TEXT(SalesHistory[[#This Row],[日付]],"yyyy-mm")</f>
        <v>2025-09</v>
      </c>
      <c r="K210" s="35">
        <f>YEAR(SalesHistory[[#This Row],[日付]])</f>
        <v>2025</v>
      </c>
      <c r="L210" s="35">
        <f>MONTH(SalesHistory[[#This Row],[日付]])</f>
        <v>9</v>
      </c>
    </row>
    <row r="211" spans="1:12" ht="24.95" customHeight="1">
      <c r="A211" s="21">
        <v>45925</v>
      </c>
      <c r="B211" s="20" t="s">
        <v>128</v>
      </c>
      <c r="C211" s="20" t="s">
        <v>148</v>
      </c>
      <c r="D211" s="22">
        <v>22</v>
      </c>
      <c r="E211" s="22">
        <v>2000</v>
      </c>
      <c r="F211" s="22">
        <f t="shared" si="6"/>
        <v>44000</v>
      </c>
      <c r="G211" s="22">
        <v>29040</v>
      </c>
      <c r="H211" s="22">
        <f t="shared" si="7"/>
        <v>14960</v>
      </c>
      <c r="I211" s="20" t="s">
        <v>242</v>
      </c>
      <c r="J211" s="20" t="str">
        <f>TEXT(SalesHistory[[#This Row],[日付]],"yyyy-mm")</f>
        <v>2025-09</v>
      </c>
      <c r="K211" s="35">
        <f>YEAR(SalesHistory[[#This Row],[日付]])</f>
        <v>2025</v>
      </c>
      <c r="L211" s="35">
        <f>MONTH(SalesHistory[[#This Row],[日付]])</f>
        <v>9</v>
      </c>
    </row>
    <row r="212" spans="1:12" ht="24.95" customHeight="1">
      <c r="A212" s="21">
        <v>45905</v>
      </c>
      <c r="B212" s="20" t="s">
        <v>128</v>
      </c>
      <c r="C212" s="20" t="s">
        <v>233</v>
      </c>
      <c r="D212" s="22">
        <v>32</v>
      </c>
      <c r="E212" s="22">
        <v>1800</v>
      </c>
      <c r="F212" s="22">
        <f t="shared" si="6"/>
        <v>57600</v>
      </c>
      <c r="G212" s="22">
        <v>41472</v>
      </c>
      <c r="H212" s="22">
        <f t="shared" si="7"/>
        <v>16128</v>
      </c>
      <c r="I212" s="20" t="s">
        <v>242</v>
      </c>
      <c r="J212" s="20" t="str">
        <f>TEXT(SalesHistory[[#This Row],[日付]],"yyyy-mm")</f>
        <v>2025-09</v>
      </c>
      <c r="K212" s="35">
        <f>YEAR(SalesHistory[[#This Row],[日付]])</f>
        <v>2025</v>
      </c>
      <c r="L212" s="35">
        <f>MONTH(SalesHistory[[#This Row],[日付]])</f>
        <v>9</v>
      </c>
    </row>
    <row r="213" spans="1:12" ht="24.95" customHeight="1">
      <c r="A213" s="21">
        <v>45915</v>
      </c>
      <c r="B213" s="20" t="s">
        <v>128</v>
      </c>
      <c r="C213" s="20" t="s">
        <v>233</v>
      </c>
      <c r="D213" s="22">
        <v>20</v>
      </c>
      <c r="E213" s="22">
        <v>1800</v>
      </c>
      <c r="F213" s="22">
        <f t="shared" si="6"/>
        <v>36000</v>
      </c>
      <c r="G213" s="22">
        <v>25920</v>
      </c>
      <c r="H213" s="22">
        <f t="shared" si="7"/>
        <v>10080</v>
      </c>
      <c r="I213" s="20" t="s">
        <v>242</v>
      </c>
      <c r="J213" s="20" t="str">
        <f>TEXT(SalesHistory[[#This Row],[日付]],"yyyy-mm")</f>
        <v>2025-09</v>
      </c>
      <c r="K213" s="35">
        <f>YEAR(SalesHistory[[#This Row],[日付]])</f>
        <v>2025</v>
      </c>
      <c r="L213" s="35">
        <f>MONTH(SalesHistory[[#This Row],[日付]])</f>
        <v>9</v>
      </c>
    </row>
    <row r="214" spans="1:12" ht="24.95" customHeight="1">
      <c r="A214" s="21">
        <v>45925</v>
      </c>
      <c r="B214" s="20" t="s">
        <v>128</v>
      </c>
      <c r="C214" s="20" t="s">
        <v>233</v>
      </c>
      <c r="D214" s="22">
        <v>25</v>
      </c>
      <c r="E214" s="22">
        <v>1800</v>
      </c>
      <c r="F214" s="22">
        <f t="shared" si="6"/>
        <v>45000</v>
      </c>
      <c r="G214" s="22">
        <v>32400</v>
      </c>
      <c r="H214" s="22">
        <f t="shared" si="7"/>
        <v>12600</v>
      </c>
      <c r="I214" s="20" t="s">
        <v>242</v>
      </c>
      <c r="J214" s="20" t="str">
        <f>TEXT(SalesHistory[[#This Row],[日付]],"yyyy-mm")</f>
        <v>2025-09</v>
      </c>
      <c r="K214" s="35">
        <f>YEAR(SalesHistory[[#This Row],[日付]])</f>
        <v>2025</v>
      </c>
      <c r="L214" s="35">
        <f>MONTH(SalesHistory[[#This Row],[日付]])</f>
        <v>9</v>
      </c>
    </row>
    <row r="215" spans="1:12" ht="24.95" customHeight="1">
      <c r="A215" s="21">
        <v>45905</v>
      </c>
      <c r="B215" s="20" t="s">
        <v>128</v>
      </c>
      <c r="C215" s="20" t="s">
        <v>234</v>
      </c>
      <c r="D215" s="22">
        <v>35</v>
      </c>
      <c r="E215" s="22">
        <v>3200</v>
      </c>
      <c r="F215" s="22">
        <f t="shared" si="6"/>
        <v>112000</v>
      </c>
      <c r="G215" s="22">
        <v>53760</v>
      </c>
      <c r="H215" s="22">
        <f t="shared" si="7"/>
        <v>58240</v>
      </c>
      <c r="I215" s="20" t="s">
        <v>242</v>
      </c>
      <c r="J215" s="20" t="str">
        <f>TEXT(SalesHistory[[#This Row],[日付]],"yyyy-mm")</f>
        <v>2025-09</v>
      </c>
      <c r="K215" s="35">
        <f>YEAR(SalesHistory[[#This Row],[日付]])</f>
        <v>2025</v>
      </c>
      <c r="L215" s="35">
        <f>MONTH(SalesHistory[[#This Row],[日付]])</f>
        <v>9</v>
      </c>
    </row>
    <row r="216" spans="1:12" ht="24.95" customHeight="1">
      <c r="A216" s="21">
        <v>45915</v>
      </c>
      <c r="B216" s="20" t="s">
        <v>128</v>
      </c>
      <c r="C216" s="20" t="s">
        <v>234</v>
      </c>
      <c r="D216" s="22">
        <v>23</v>
      </c>
      <c r="E216" s="22">
        <v>3200</v>
      </c>
      <c r="F216" s="22">
        <f t="shared" si="6"/>
        <v>73600</v>
      </c>
      <c r="G216" s="22">
        <v>35328</v>
      </c>
      <c r="H216" s="22">
        <f t="shared" si="7"/>
        <v>38272</v>
      </c>
      <c r="I216" s="20" t="s">
        <v>242</v>
      </c>
      <c r="J216" s="20" t="str">
        <f>TEXT(SalesHistory[[#This Row],[日付]],"yyyy-mm")</f>
        <v>2025-09</v>
      </c>
      <c r="K216" s="35">
        <f>YEAR(SalesHistory[[#This Row],[日付]])</f>
        <v>2025</v>
      </c>
      <c r="L216" s="35">
        <f>MONTH(SalesHistory[[#This Row],[日付]])</f>
        <v>9</v>
      </c>
    </row>
    <row r="217" spans="1:12" ht="24.95" customHeight="1">
      <c r="A217" s="21">
        <v>45925</v>
      </c>
      <c r="B217" s="20" t="s">
        <v>128</v>
      </c>
      <c r="C217" s="20" t="s">
        <v>234</v>
      </c>
      <c r="D217" s="22">
        <v>28</v>
      </c>
      <c r="E217" s="22">
        <v>3200</v>
      </c>
      <c r="F217" s="22">
        <f t="shared" si="6"/>
        <v>89600</v>
      </c>
      <c r="G217" s="22">
        <v>43008</v>
      </c>
      <c r="H217" s="22">
        <f t="shared" si="7"/>
        <v>46592</v>
      </c>
      <c r="I217" s="20" t="s">
        <v>242</v>
      </c>
      <c r="J217" s="20" t="str">
        <f>TEXT(SalesHistory[[#This Row],[日付]],"yyyy-mm")</f>
        <v>2025-09</v>
      </c>
      <c r="K217" s="35">
        <f>YEAR(SalesHistory[[#This Row],[日付]])</f>
        <v>2025</v>
      </c>
      <c r="L217" s="35">
        <f>MONTH(SalesHistory[[#This Row],[日付]])</f>
        <v>9</v>
      </c>
    </row>
    <row r="218" spans="1:12" ht="24.95" customHeight="1">
      <c r="A218" s="21">
        <v>45905</v>
      </c>
      <c r="B218" s="20" t="s">
        <v>128</v>
      </c>
      <c r="C218" s="20" t="s">
        <v>235</v>
      </c>
      <c r="D218" s="22">
        <v>21</v>
      </c>
      <c r="E218" s="22">
        <v>4000</v>
      </c>
      <c r="F218" s="22">
        <f t="shared" si="6"/>
        <v>84000</v>
      </c>
      <c r="G218" s="22">
        <v>45360</v>
      </c>
      <c r="H218" s="22">
        <f t="shared" si="7"/>
        <v>38640</v>
      </c>
      <c r="I218" s="20" t="s">
        <v>242</v>
      </c>
      <c r="J218" s="20" t="str">
        <f>TEXT(SalesHistory[[#This Row],[日付]],"yyyy-mm")</f>
        <v>2025-09</v>
      </c>
      <c r="K218" s="35">
        <f>YEAR(SalesHistory[[#This Row],[日付]])</f>
        <v>2025</v>
      </c>
      <c r="L218" s="35">
        <f>MONTH(SalesHistory[[#This Row],[日付]])</f>
        <v>9</v>
      </c>
    </row>
    <row r="219" spans="1:12" ht="24.95" customHeight="1">
      <c r="A219" s="21">
        <v>45915</v>
      </c>
      <c r="B219" s="20" t="s">
        <v>128</v>
      </c>
      <c r="C219" s="20" t="s">
        <v>235</v>
      </c>
      <c r="D219" s="22">
        <v>26</v>
      </c>
      <c r="E219" s="22">
        <v>4000</v>
      </c>
      <c r="F219" s="22">
        <f t="shared" si="6"/>
        <v>104000</v>
      </c>
      <c r="G219" s="22">
        <v>56160</v>
      </c>
      <c r="H219" s="22">
        <f t="shared" si="7"/>
        <v>47840</v>
      </c>
      <c r="I219" s="20" t="s">
        <v>242</v>
      </c>
      <c r="J219" s="20" t="str">
        <f>TEXT(SalesHistory[[#This Row],[日付]],"yyyy-mm")</f>
        <v>2025-09</v>
      </c>
      <c r="K219" s="35">
        <f>YEAR(SalesHistory[[#This Row],[日付]])</f>
        <v>2025</v>
      </c>
      <c r="L219" s="35">
        <f>MONTH(SalesHistory[[#This Row],[日付]])</f>
        <v>9</v>
      </c>
    </row>
    <row r="220" spans="1:12" ht="24.95" customHeight="1">
      <c r="A220" s="21">
        <v>45925</v>
      </c>
      <c r="B220" s="20" t="s">
        <v>128</v>
      </c>
      <c r="C220" s="20" t="s">
        <v>235</v>
      </c>
      <c r="D220" s="22">
        <v>31</v>
      </c>
      <c r="E220" s="22">
        <v>4000</v>
      </c>
      <c r="F220" s="22">
        <f t="shared" si="6"/>
        <v>124000</v>
      </c>
      <c r="G220" s="22">
        <v>66960</v>
      </c>
      <c r="H220" s="22">
        <f t="shared" si="7"/>
        <v>57040</v>
      </c>
      <c r="I220" s="20" t="s">
        <v>242</v>
      </c>
      <c r="J220" s="20" t="str">
        <f>TEXT(SalesHistory[[#This Row],[日付]],"yyyy-mm")</f>
        <v>2025-09</v>
      </c>
      <c r="K220" s="35">
        <f>YEAR(SalesHistory[[#This Row],[日付]])</f>
        <v>2025</v>
      </c>
      <c r="L220" s="35">
        <f>MONTH(SalesHistory[[#This Row],[日付]])</f>
        <v>9</v>
      </c>
    </row>
    <row r="221" spans="1:12" ht="24.95" customHeight="1">
      <c r="A221" s="21">
        <v>45935</v>
      </c>
      <c r="B221" s="20" t="s">
        <v>2</v>
      </c>
      <c r="C221" s="20" t="s">
        <v>56</v>
      </c>
      <c r="D221" s="22">
        <v>6</v>
      </c>
      <c r="E221" s="22">
        <v>50000</v>
      </c>
      <c r="F221" s="22">
        <f t="shared" si="6"/>
        <v>300000</v>
      </c>
      <c r="G221" s="22">
        <v>144000</v>
      </c>
      <c r="H221" s="22">
        <f t="shared" si="7"/>
        <v>156000</v>
      </c>
      <c r="I221" s="20" t="s">
        <v>242</v>
      </c>
      <c r="J221" s="20" t="str">
        <f>TEXT(SalesHistory[[#This Row],[日付]],"yyyy-mm")</f>
        <v>2025-10</v>
      </c>
      <c r="K221" s="35">
        <f>YEAR(SalesHistory[[#This Row],[日付]])</f>
        <v>2025</v>
      </c>
      <c r="L221" s="35">
        <f>MONTH(SalesHistory[[#This Row],[日付]])</f>
        <v>10</v>
      </c>
    </row>
    <row r="222" spans="1:12" ht="24.95" customHeight="1">
      <c r="A222" s="21">
        <v>45945</v>
      </c>
      <c r="B222" s="20" t="s">
        <v>2</v>
      </c>
      <c r="C222" s="20" t="s">
        <v>56</v>
      </c>
      <c r="D222" s="22">
        <v>11</v>
      </c>
      <c r="E222" s="22">
        <v>50000</v>
      </c>
      <c r="F222" s="22">
        <f t="shared" si="6"/>
        <v>550000</v>
      </c>
      <c r="G222" s="22">
        <v>264000</v>
      </c>
      <c r="H222" s="22">
        <f t="shared" si="7"/>
        <v>286000</v>
      </c>
      <c r="I222" s="20" t="s">
        <v>242</v>
      </c>
      <c r="J222" s="20" t="str">
        <f>TEXT(SalesHistory[[#This Row],[日付]],"yyyy-mm")</f>
        <v>2025-10</v>
      </c>
      <c r="K222" s="35">
        <f>YEAR(SalesHistory[[#This Row],[日付]])</f>
        <v>2025</v>
      </c>
      <c r="L222" s="35">
        <f>MONTH(SalesHistory[[#This Row],[日付]])</f>
        <v>10</v>
      </c>
    </row>
    <row r="223" spans="1:12" ht="24.95" customHeight="1">
      <c r="A223" s="21">
        <v>45955</v>
      </c>
      <c r="B223" s="20" t="s">
        <v>2</v>
      </c>
      <c r="C223" s="20" t="s">
        <v>56</v>
      </c>
      <c r="D223" s="22">
        <v>16</v>
      </c>
      <c r="E223" s="22">
        <v>50000</v>
      </c>
      <c r="F223" s="22">
        <f t="shared" si="6"/>
        <v>800000</v>
      </c>
      <c r="G223" s="22">
        <v>384000</v>
      </c>
      <c r="H223" s="22">
        <f t="shared" si="7"/>
        <v>416000</v>
      </c>
      <c r="I223" s="20" t="s">
        <v>242</v>
      </c>
      <c r="J223" s="20" t="str">
        <f>TEXT(SalesHistory[[#This Row],[日付]],"yyyy-mm")</f>
        <v>2025-10</v>
      </c>
      <c r="K223" s="35">
        <f>YEAR(SalesHistory[[#This Row],[日付]])</f>
        <v>2025</v>
      </c>
      <c r="L223" s="35">
        <f>MONTH(SalesHistory[[#This Row],[日付]])</f>
        <v>10</v>
      </c>
    </row>
    <row r="224" spans="1:12" ht="24.95" customHeight="1">
      <c r="A224" s="21">
        <v>45935</v>
      </c>
      <c r="B224" s="20" t="s">
        <v>2</v>
      </c>
      <c r="C224" s="20" t="s">
        <v>60</v>
      </c>
      <c r="D224" s="22">
        <v>9</v>
      </c>
      <c r="E224" s="22">
        <v>15000</v>
      </c>
      <c r="F224" s="22">
        <f t="shared" si="6"/>
        <v>135000</v>
      </c>
      <c r="G224" s="22">
        <v>72900</v>
      </c>
      <c r="H224" s="22">
        <f t="shared" si="7"/>
        <v>62100</v>
      </c>
      <c r="I224" s="20" t="s">
        <v>242</v>
      </c>
      <c r="J224" s="20" t="str">
        <f>TEXT(SalesHistory[[#This Row],[日付]],"yyyy-mm")</f>
        <v>2025-10</v>
      </c>
      <c r="K224" s="35">
        <f>YEAR(SalesHistory[[#This Row],[日付]])</f>
        <v>2025</v>
      </c>
      <c r="L224" s="35">
        <f>MONTH(SalesHistory[[#This Row],[日付]])</f>
        <v>10</v>
      </c>
    </row>
    <row r="225" spans="1:12" ht="24.95" customHeight="1">
      <c r="A225" s="21">
        <v>45945</v>
      </c>
      <c r="B225" s="20" t="s">
        <v>2</v>
      </c>
      <c r="C225" s="20" t="s">
        <v>60</v>
      </c>
      <c r="D225" s="22">
        <v>14</v>
      </c>
      <c r="E225" s="22">
        <v>15000</v>
      </c>
      <c r="F225" s="22">
        <f t="shared" si="6"/>
        <v>210000</v>
      </c>
      <c r="G225" s="22">
        <v>113400</v>
      </c>
      <c r="H225" s="22">
        <f t="shared" si="7"/>
        <v>96600</v>
      </c>
      <c r="I225" s="20" t="s">
        <v>242</v>
      </c>
      <c r="J225" s="20" t="str">
        <f>TEXT(SalesHistory[[#This Row],[日付]],"yyyy-mm")</f>
        <v>2025-10</v>
      </c>
      <c r="K225" s="35">
        <f>YEAR(SalesHistory[[#This Row],[日付]])</f>
        <v>2025</v>
      </c>
      <c r="L225" s="35">
        <f>MONTH(SalesHistory[[#This Row],[日付]])</f>
        <v>10</v>
      </c>
    </row>
    <row r="226" spans="1:12" ht="24.95" customHeight="1">
      <c r="A226" s="21">
        <v>45955</v>
      </c>
      <c r="B226" s="20" t="s">
        <v>2</v>
      </c>
      <c r="C226" s="20" t="s">
        <v>60</v>
      </c>
      <c r="D226" s="22">
        <v>2</v>
      </c>
      <c r="E226" s="22">
        <v>15000</v>
      </c>
      <c r="F226" s="22">
        <f t="shared" si="6"/>
        <v>30000</v>
      </c>
      <c r="G226" s="22">
        <v>16200</v>
      </c>
      <c r="H226" s="22">
        <f t="shared" si="7"/>
        <v>13800</v>
      </c>
      <c r="I226" s="20" t="s">
        <v>242</v>
      </c>
      <c r="J226" s="20" t="str">
        <f>TEXT(SalesHistory[[#This Row],[日付]],"yyyy-mm")</f>
        <v>2025-10</v>
      </c>
      <c r="K226" s="35">
        <f>YEAR(SalesHistory[[#This Row],[日付]])</f>
        <v>2025</v>
      </c>
      <c r="L226" s="35">
        <f>MONTH(SalesHistory[[#This Row],[日付]])</f>
        <v>10</v>
      </c>
    </row>
    <row r="227" spans="1:12" ht="24.95" customHeight="1">
      <c r="A227" s="21">
        <v>45935</v>
      </c>
      <c r="B227" s="20" t="s">
        <v>2</v>
      </c>
      <c r="C227" s="20" t="s">
        <v>231</v>
      </c>
      <c r="D227" s="22">
        <v>12</v>
      </c>
      <c r="E227" s="22">
        <v>35000</v>
      </c>
      <c r="F227" s="22">
        <f t="shared" si="6"/>
        <v>420000</v>
      </c>
      <c r="G227" s="22">
        <v>252000</v>
      </c>
      <c r="H227" s="22">
        <f t="shared" si="7"/>
        <v>168000</v>
      </c>
      <c r="I227" s="20" t="s">
        <v>242</v>
      </c>
      <c r="J227" s="20" t="str">
        <f>TEXT(SalesHistory[[#This Row],[日付]],"yyyy-mm")</f>
        <v>2025-10</v>
      </c>
      <c r="K227" s="35">
        <f>YEAR(SalesHistory[[#This Row],[日付]])</f>
        <v>2025</v>
      </c>
      <c r="L227" s="35">
        <f>MONTH(SalesHistory[[#This Row],[日付]])</f>
        <v>10</v>
      </c>
    </row>
    <row r="228" spans="1:12" ht="24.95" customHeight="1">
      <c r="A228" s="21">
        <v>45945</v>
      </c>
      <c r="B228" s="20" t="s">
        <v>2</v>
      </c>
      <c r="C228" s="20" t="s">
        <v>231</v>
      </c>
      <c r="D228" s="22">
        <v>17</v>
      </c>
      <c r="E228" s="22">
        <v>35000</v>
      </c>
      <c r="F228" s="22">
        <f t="shared" si="6"/>
        <v>595000</v>
      </c>
      <c r="G228" s="22">
        <v>357000</v>
      </c>
      <c r="H228" s="22">
        <f t="shared" si="7"/>
        <v>238000</v>
      </c>
      <c r="I228" s="20" t="s">
        <v>242</v>
      </c>
      <c r="J228" s="20" t="str">
        <f>TEXT(SalesHistory[[#This Row],[日付]],"yyyy-mm")</f>
        <v>2025-10</v>
      </c>
      <c r="K228" s="35">
        <f>YEAR(SalesHistory[[#This Row],[日付]])</f>
        <v>2025</v>
      </c>
      <c r="L228" s="35">
        <f>MONTH(SalesHistory[[#This Row],[日付]])</f>
        <v>10</v>
      </c>
    </row>
    <row r="229" spans="1:12" ht="24.95" customHeight="1">
      <c r="A229" s="21">
        <v>45955</v>
      </c>
      <c r="B229" s="20" t="s">
        <v>2</v>
      </c>
      <c r="C229" s="20" t="s">
        <v>231</v>
      </c>
      <c r="D229" s="22">
        <v>5</v>
      </c>
      <c r="E229" s="22">
        <v>35000</v>
      </c>
      <c r="F229" s="22">
        <f t="shared" si="6"/>
        <v>175000</v>
      </c>
      <c r="G229" s="22">
        <v>105000</v>
      </c>
      <c r="H229" s="22">
        <f t="shared" si="7"/>
        <v>70000</v>
      </c>
      <c r="I229" s="20" t="s">
        <v>242</v>
      </c>
      <c r="J229" s="20" t="str">
        <f>TEXT(SalesHistory[[#This Row],[日付]],"yyyy-mm")</f>
        <v>2025-10</v>
      </c>
      <c r="K229" s="35">
        <f>YEAR(SalesHistory[[#This Row],[日付]])</f>
        <v>2025</v>
      </c>
      <c r="L229" s="35">
        <f>MONTH(SalesHistory[[#This Row],[日付]])</f>
        <v>10</v>
      </c>
    </row>
    <row r="230" spans="1:12" ht="24.95" customHeight="1">
      <c r="A230" s="21">
        <v>45935</v>
      </c>
      <c r="B230" s="20" t="s">
        <v>2</v>
      </c>
      <c r="C230" s="20" t="s">
        <v>232</v>
      </c>
      <c r="D230" s="22">
        <v>15</v>
      </c>
      <c r="E230" s="22">
        <v>2500</v>
      </c>
      <c r="F230" s="22">
        <f t="shared" si="6"/>
        <v>37500</v>
      </c>
      <c r="G230" s="22">
        <v>24750</v>
      </c>
      <c r="H230" s="22">
        <f t="shared" si="7"/>
        <v>12750</v>
      </c>
      <c r="I230" s="20" t="s">
        <v>242</v>
      </c>
      <c r="J230" s="20" t="str">
        <f>TEXT(SalesHistory[[#This Row],[日付]],"yyyy-mm")</f>
        <v>2025-10</v>
      </c>
      <c r="K230" s="35">
        <f>YEAR(SalesHistory[[#This Row],[日付]])</f>
        <v>2025</v>
      </c>
      <c r="L230" s="35">
        <f>MONTH(SalesHistory[[#This Row],[日付]])</f>
        <v>10</v>
      </c>
    </row>
    <row r="231" spans="1:12" ht="24.95" customHeight="1">
      <c r="A231" s="21">
        <v>45945</v>
      </c>
      <c r="B231" s="20" t="s">
        <v>2</v>
      </c>
      <c r="C231" s="20" t="s">
        <v>232</v>
      </c>
      <c r="D231" s="22">
        <v>3</v>
      </c>
      <c r="E231" s="22">
        <v>2500</v>
      </c>
      <c r="F231" s="22">
        <f t="shared" si="6"/>
        <v>7500</v>
      </c>
      <c r="G231" s="22">
        <v>4950</v>
      </c>
      <c r="H231" s="22">
        <f t="shared" si="7"/>
        <v>2550</v>
      </c>
      <c r="I231" s="20" t="s">
        <v>242</v>
      </c>
      <c r="J231" s="20" t="str">
        <f>TEXT(SalesHistory[[#This Row],[日付]],"yyyy-mm")</f>
        <v>2025-10</v>
      </c>
      <c r="K231" s="35">
        <f>YEAR(SalesHistory[[#This Row],[日付]])</f>
        <v>2025</v>
      </c>
      <c r="L231" s="35">
        <f>MONTH(SalesHistory[[#This Row],[日付]])</f>
        <v>10</v>
      </c>
    </row>
    <row r="232" spans="1:12" ht="24.95" customHeight="1">
      <c r="A232" s="21">
        <v>45955</v>
      </c>
      <c r="B232" s="20" t="s">
        <v>2</v>
      </c>
      <c r="C232" s="20" t="s">
        <v>232</v>
      </c>
      <c r="D232" s="22">
        <v>8</v>
      </c>
      <c r="E232" s="22">
        <v>2500</v>
      </c>
      <c r="F232" s="22">
        <f t="shared" si="6"/>
        <v>20000</v>
      </c>
      <c r="G232" s="22">
        <v>13200</v>
      </c>
      <c r="H232" s="22">
        <f t="shared" si="7"/>
        <v>6800</v>
      </c>
      <c r="I232" s="20" t="s">
        <v>242</v>
      </c>
      <c r="J232" s="20" t="str">
        <f>TEXT(SalesHistory[[#This Row],[日付]],"yyyy-mm")</f>
        <v>2025-10</v>
      </c>
      <c r="K232" s="35">
        <f>YEAR(SalesHistory[[#This Row],[日付]])</f>
        <v>2025</v>
      </c>
      <c r="L232" s="35">
        <f>MONTH(SalesHistory[[#This Row],[日付]])</f>
        <v>10</v>
      </c>
    </row>
    <row r="233" spans="1:12" ht="24.95" customHeight="1">
      <c r="A233" s="21">
        <v>45935</v>
      </c>
      <c r="B233" s="20" t="s">
        <v>128</v>
      </c>
      <c r="C233" s="20" t="s">
        <v>148</v>
      </c>
      <c r="D233" s="22">
        <v>36</v>
      </c>
      <c r="E233" s="22">
        <v>2000</v>
      </c>
      <c r="F233" s="22">
        <f t="shared" si="6"/>
        <v>72000</v>
      </c>
      <c r="G233" s="22">
        <v>51840</v>
      </c>
      <c r="H233" s="22">
        <f t="shared" si="7"/>
        <v>20160</v>
      </c>
      <c r="I233" s="20" t="s">
        <v>242</v>
      </c>
      <c r="J233" s="20" t="str">
        <f>TEXT(SalesHistory[[#This Row],[日付]],"yyyy-mm")</f>
        <v>2025-10</v>
      </c>
      <c r="K233" s="35">
        <f>YEAR(SalesHistory[[#This Row],[日付]])</f>
        <v>2025</v>
      </c>
      <c r="L233" s="35">
        <f>MONTH(SalesHistory[[#This Row],[日付]])</f>
        <v>10</v>
      </c>
    </row>
    <row r="234" spans="1:12" ht="24.95" customHeight="1">
      <c r="A234" s="21">
        <v>45945</v>
      </c>
      <c r="B234" s="20" t="s">
        <v>128</v>
      </c>
      <c r="C234" s="20" t="s">
        <v>148</v>
      </c>
      <c r="D234" s="22">
        <v>24</v>
      </c>
      <c r="E234" s="22">
        <v>2000</v>
      </c>
      <c r="F234" s="22">
        <f t="shared" si="6"/>
        <v>48000</v>
      </c>
      <c r="G234" s="22">
        <v>34560</v>
      </c>
      <c r="H234" s="22">
        <f t="shared" si="7"/>
        <v>13440</v>
      </c>
      <c r="I234" s="20" t="s">
        <v>242</v>
      </c>
      <c r="J234" s="20" t="str">
        <f>TEXT(SalesHistory[[#This Row],[日付]],"yyyy-mm")</f>
        <v>2025-10</v>
      </c>
      <c r="K234" s="35">
        <f>YEAR(SalesHistory[[#This Row],[日付]])</f>
        <v>2025</v>
      </c>
      <c r="L234" s="35">
        <f>MONTH(SalesHistory[[#This Row],[日付]])</f>
        <v>10</v>
      </c>
    </row>
    <row r="235" spans="1:12" ht="24.95" customHeight="1">
      <c r="A235" s="21">
        <v>45955</v>
      </c>
      <c r="B235" s="20" t="s">
        <v>128</v>
      </c>
      <c r="C235" s="20" t="s">
        <v>148</v>
      </c>
      <c r="D235" s="22">
        <v>29</v>
      </c>
      <c r="E235" s="22">
        <v>2000</v>
      </c>
      <c r="F235" s="22">
        <f t="shared" si="6"/>
        <v>58000</v>
      </c>
      <c r="G235" s="22">
        <v>41760</v>
      </c>
      <c r="H235" s="22">
        <f t="shared" si="7"/>
        <v>16240</v>
      </c>
      <c r="I235" s="20" t="s">
        <v>242</v>
      </c>
      <c r="J235" s="20" t="str">
        <f>TEXT(SalesHistory[[#This Row],[日付]],"yyyy-mm")</f>
        <v>2025-10</v>
      </c>
      <c r="K235" s="35">
        <f>YEAR(SalesHistory[[#This Row],[日付]])</f>
        <v>2025</v>
      </c>
      <c r="L235" s="35">
        <f>MONTH(SalesHistory[[#This Row],[日付]])</f>
        <v>10</v>
      </c>
    </row>
    <row r="236" spans="1:12" ht="24.95" customHeight="1">
      <c r="A236" s="21">
        <v>45935</v>
      </c>
      <c r="B236" s="20" t="s">
        <v>128</v>
      </c>
      <c r="C236" s="20" t="s">
        <v>233</v>
      </c>
      <c r="D236" s="22">
        <v>22</v>
      </c>
      <c r="E236" s="22">
        <v>1800</v>
      </c>
      <c r="F236" s="22">
        <f t="shared" si="6"/>
        <v>39600</v>
      </c>
      <c r="G236" s="22">
        <v>19008</v>
      </c>
      <c r="H236" s="22">
        <f t="shared" si="7"/>
        <v>20592</v>
      </c>
      <c r="I236" s="20" t="s">
        <v>242</v>
      </c>
      <c r="J236" s="20" t="str">
        <f>TEXT(SalesHistory[[#This Row],[日付]],"yyyy-mm")</f>
        <v>2025-10</v>
      </c>
      <c r="K236" s="35">
        <f>YEAR(SalesHistory[[#This Row],[日付]])</f>
        <v>2025</v>
      </c>
      <c r="L236" s="35">
        <f>MONTH(SalesHistory[[#This Row],[日付]])</f>
        <v>10</v>
      </c>
    </row>
    <row r="237" spans="1:12" ht="24.95" customHeight="1">
      <c r="A237" s="21">
        <v>45945</v>
      </c>
      <c r="B237" s="20" t="s">
        <v>128</v>
      </c>
      <c r="C237" s="20" t="s">
        <v>233</v>
      </c>
      <c r="D237" s="22">
        <v>27</v>
      </c>
      <c r="E237" s="22">
        <v>1800</v>
      </c>
      <c r="F237" s="22">
        <f t="shared" si="6"/>
        <v>48600</v>
      </c>
      <c r="G237" s="22">
        <v>23328</v>
      </c>
      <c r="H237" s="22">
        <f t="shared" si="7"/>
        <v>25272</v>
      </c>
      <c r="I237" s="20" t="s">
        <v>242</v>
      </c>
      <c r="J237" s="20" t="str">
        <f>TEXT(SalesHistory[[#This Row],[日付]],"yyyy-mm")</f>
        <v>2025-10</v>
      </c>
      <c r="K237" s="35">
        <f>YEAR(SalesHistory[[#This Row],[日付]])</f>
        <v>2025</v>
      </c>
      <c r="L237" s="35">
        <f>MONTH(SalesHistory[[#This Row],[日付]])</f>
        <v>10</v>
      </c>
    </row>
    <row r="238" spans="1:12" ht="24.95" customHeight="1">
      <c r="A238" s="21">
        <v>45955</v>
      </c>
      <c r="B238" s="20" t="s">
        <v>128</v>
      </c>
      <c r="C238" s="20" t="s">
        <v>233</v>
      </c>
      <c r="D238" s="22">
        <v>32</v>
      </c>
      <c r="E238" s="22">
        <v>1800</v>
      </c>
      <c r="F238" s="22">
        <f t="shared" si="6"/>
        <v>57600</v>
      </c>
      <c r="G238" s="22">
        <v>27648</v>
      </c>
      <c r="H238" s="22">
        <f t="shared" si="7"/>
        <v>29952</v>
      </c>
      <c r="I238" s="20" t="s">
        <v>242</v>
      </c>
      <c r="J238" s="20" t="str">
        <f>TEXT(SalesHistory[[#This Row],[日付]],"yyyy-mm")</f>
        <v>2025-10</v>
      </c>
      <c r="K238" s="35">
        <f>YEAR(SalesHistory[[#This Row],[日付]])</f>
        <v>2025</v>
      </c>
      <c r="L238" s="35">
        <f>MONTH(SalesHistory[[#This Row],[日付]])</f>
        <v>10</v>
      </c>
    </row>
    <row r="239" spans="1:12" ht="24.95" customHeight="1">
      <c r="A239" s="21">
        <v>45935</v>
      </c>
      <c r="B239" s="20" t="s">
        <v>128</v>
      </c>
      <c r="C239" s="20" t="s">
        <v>234</v>
      </c>
      <c r="D239" s="22">
        <v>25</v>
      </c>
      <c r="E239" s="22">
        <v>3200</v>
      </c>
      <c r="F239" s="22">
        <f t="shared" si="6"/>
        <v>80000</v>
      </c>
      <c r="G239" s="22">
        <v>43200</v>
      </c>
      <c r="H239" s="22">
        <f t="shared" si="7"/>
        <v>36800</v>
      </c>
      <c r="I239" s="20" t="s">
        <v>242</v>
      </c>
      <c r="J239" s="20" t="str">
        <f>TEXT(SalesHistory[[#This Row],[日付]],"yyyy-mm")</f>
        <v>2025-10</v>
      </c>
      <c r="K239" s="35">
        <f>YEAR(SalesHistory[[#This Row],[日付]])</f>
        <v>2025</v>
      </c>
      <c r="L239" s="35">
        <f>MONTH(SalesHistory[[#This Row],[日付]])</f>
        <v>10</v>
      </c>
    </row>
    <row r="240" spans="1:12" ht="24.95" customHeight="1">
      <c r="A240" s="21">
        <v>45945</v>
      </c>
      <c r="B240" s="20" t="s">
        <v>128</v>
      </c>
      <c r="C240" s="20" t="s">
        <v>234</v>
      </c>
      <c r="D240" s="22">
        <v>30</v>
      </c>
      <c r="E240" s="22">
        <v>3200</v>
      </c>
      <c r="F240" s="22">
        <f t="shared" si="6"/>
        <v>96000</v>
      </c>
      <c r="G240" s="22">
        <v>51840</v>
      </c>
      <c r="H240" s="22">
        <f t="shared" si="7"/>
        <v>44160</v>
      </c>
      <c r="I240" s="20" t="s">
        <v>242</v>
      </c>
      <c r="J240" s="20" t="str">
        <f>TEXT(SalesHistory[[#This Row],[日付]],"yyyy-mm")</f>
        <v>2025-10</v>
      </c>
      <c r="K240" s="35">
        <f>YEAR(SalesHistory[[#This Row],[日付]])</f>
        <v>2025</v>
      </c>
      <c r="L240" s="35">
        <f>MONTH(SalesHistory[[#This Row],[日付]])</f>
        <v>10</v>
      </c>
    </row>
    <row r="241" spans="1:12" ht="24.95" customHeight="1">
      <c r="A241" s="21">
        <v>45955</v>
      </c>
      <c r="B241" s="20" t="s">
        <v>128</v>
      </c>
      <c r="C241" s="20" t="s">
        <v>234</v>
      </c>
      <c r="D241" s="22">
        <v>35</v>
      </c>
      <c r="E241" s="22">
        <v>3200</v>
      </c>
      <c r="F241" s="22">
        <f t="shared" si="6"/>
        <v>112000</v>
      </c>
      <c r="G241" s="22">
        <v>60480</v>
      </c>
      <c r="H241" s="22">
        <f t="shared" si="7"/>
        <v>51520</v>
      </c>
      <c r="I241" s="20" t="s">
        <v>242</v>
      </c>
      <c r="J241" s="20" t="str">
        <f>TEXT(SalesHistory[[#This Row],[日付]],"yyyy-mm")</f>
        <v>2025-10</v>
      </c>
      <c r="K241" s="35">
        <f>YEAR(SalesHistory[[#This Row],[日付]])</f>
        <v>2025</v>
      </c>
      <c r="L241" s="35">
        <f>MONTH(SalesHistory[[#This Row],[日付]])</f>
        <v>10</v>
      </c>
    </row>
    <row r="242" spans="1:12" ht="24.95" customHeight="1">
      <c r="A242" s="21">
        <v>45935</v>
      </c>
      <c r="B242" s="20" t="s">
        <v>128</v>
      </c>
      <c r="C242" s="20" t="s">
        <v>235</v>
      </c>
      <c r="D242" s="22">
        <v>28</v>
      </c>
      <c r="E242" s="22">
        <v>4000</v>
      </c>
      <c r="F242" s="22">
        <f t="shared" si="6"/>
        <v>112000</v>
      </c>
      <c r="G242" s="22">
        <v>67200</v>
      </c>
      <c r="H242" s="22">
        <f t="shared" si="7"/>
        <v>44800</v>
      </c>
      <c r="I242" s="20" t="s">
        <v>242</v>
      </c>
      <c r="J242" s="20" t="str">
        <f>TEXT(SalesHistory[[#This Row],[日付]],"yyyy-mm")</f>
        <v>2025-10</v>
      </c>
      <c r="K242" s="35">
        <f>YEAR(SalesHistory[[#This Row],[日付]])</f>
        <v>2025</v>
      </c>
      <c r="L242" s="35">
        <f>MONTH(SalesHistory[[#This Row],[日付]])</f>
        <v>10</v>
      </c>
    </row>
    <row r="243" spans="1:12" ht="24.95" customHeight="1">
      <c r="A243" s="21">
        <v>45945</v>
      </c>
      <c r="B243" s="20" t="s">
        <v>128</v>
      </c>
      <c r="C243" s="20" t="s">
        <v>235</v>
      </c>
      <c r="D243" s="22">
        <v>33</v>
      </c>
      <c r="E243" s="22">
        <v>4000</v>
      </c>
      <c r="F243" s="22">
        <f t="shared" si="6"/>
        <v>132000</v>
      </c>
      <c r="G243" s="22">
        <v>79200</v>
      </c>
      <c r="H243" s="22">
        <f t="shared" si="7"/>
        <v>52800</v>
      </c>
      <c r="I243" s="20" t="s">
        <v>242</v>
      </c>
      <c r="J243" s="20" t="str">
        <f>TEXT(SalesHistory[[#This Row],[日付]],"yyyy-mm")</f>
        <v>2025-10</v>
      </c>
      <c r="K243" s="35">
        <f>YEAR(SalesHistory[[#This Row],[日付]])</f>
        <v>2025</v>
      </c>
      <c r="L243" s="35">
        <f>MONTH(SalesHistory[[#This Row],[日付]])</f>
        <v>10</v>
      </c>
    </row>
    <row r="244" spans="1:12" ht="24.95" customHeight="1">
      <c r="A244" s="21">
        <v>45955</v>
      </c>
      <c r="B244" s="20" t="s">
        <v>128</v>
      </c>
      <c r="C244" s="20" t="s">
        <v>235</v>
      </c>
      <c r="D244" s="22">
        <v>21</v>
      </c>
      <c r="E244" s="22">
        <v>4000</v>
      </c>
      <c r="F244" s="22">
        <f t="shared" si="6"/>
        <v>84000</v>
      </c>
      <c r="G244" s="22">
        <v>50400</v>
      </c>
      <c r="H244" s="22">
        <f t="shared" si="7"/>
        <v>33600</v>
      </c>
      <c r="I244" s="20" t="s">
        <v>242</v>
      </c>
      <c r="J244" s="20" t="str">
        <f>TEXT(SalesHistory[[#This Row],[日付]],"yyyy-mm")</f>
        <v>2025-10</v>
      </c>
      <c r="K244" s="35">
        <f>YEAR(SalesHistory[[#This Row],[日付]])</f>
        <v>2025</v>
      </c>
      <c r="L244" s="35">
        <f>MONTH(SalesHistory[[#This Row],[日付]])</f>
        <v>10</v>
      </c>
    </row>
    <row r="245" spans="1:12" ht="24.95" customHeight="1">
      <c r="A245" s="21">
        <v>45966</v>
      </c>
      <c r="B245" s="20" t="s">
        <v>2</v>
      </c>
      <c r="C245" s="20" t="s">
        <v>56</v>
      </c>
      <c r="D245" s="22">
        <v>13</v>
      </c>
      <c r="E245" s="22">
        <v>50000</v>
      </c>
      <c r="F245" s="22">
        <f t="shared" si="6"/>
        <v>650000</v>
      </c>
      <c r="G245" s="22">
        <v>351000</v>
      </c>
      <c r="H245" s="22">
        <f t="shared" si="7"/>
        <v>299000</v>
      </c>
      <c r="I245" s="20" t="s">
        <v>242</v>
      </c>
      <c r="J245" s="20" t="str">
        <f>TEXT(SalesHistory[[#This Row],[日付]],"yyyy-mm")</f>
        <v>2025-11</v>
      </c>
      <c r="K245" s="35">
        <f>YEAR(SalesHistory[[#This Row],[日付]])</f>
        <v>2025</v>
      </c>
      <c r="L245" s="35">
        <f>MONTH(SalesHistory[[#This Row],[日付]])</f>
        <v>11</v>
      </c>
    </row>
    <row r="246" spans="1:12" ht="24.95" customHeight="1">
      <c r="A246" s="21">
        <v>45976</v>
      </c>
      <c r="B246" s="20" t="s">
        <v>2</v>
      </c>
      <c r="C246" s="20" t="s">
        <v>56</v>
      </c>
      <c r="D246" s="22">
        <v>18</v>
      </c>
      <c r="E246" s="22">
        <v>50000</v>
      </c>
      <c r="F246" s="22">
        <f t="shared" si="6"/>
        <v>900000</v>
      </c>
      <c r="G246" s="22">
        <v>486000</v>
      </c>
      <c r="H246" s="22">
        <f t="shared" si="7"/>
        <v>414000</v>
      </c>
      <c r="I246" s="20" t="s">
        <v>242</v>
      </c>
      <c r="J246" s="20" t="str">
        <f>TEXT(SalesHistory[[#This Row],[日付]],"yyyy-mm")</f>
        <v>2025-11</v>
      </c>
      <c r="K246" s="35">
        <f>YEAR(SalesHistory[[#This Row],[日付]])</f>
        <v>2025</v>
      </c>
      <c r="L246" s="35">
        <f>MONTH(SalesHistory[[#This Row],[日付]])</f>
        <v>11</v>
      </c>
    </row>
    <row r="247" spans="1:12" ht="24.95" customHeight="1">
      <c r="A247" s="21">
        <v>45986</v>
      </c>
      <c r="B247" s="20" t="s">
        <v>2</v>
      </c>
      <c r="C247" s="20" t="s">
        <v>56</v>
      </c>
      <c r="D247" s="22">
        <v>6</v>
      </c>
      <c r="E247" s="22">
        <v>50000</v>
      </c>
      <c r="F247" s="22">
        <f t="shared" si="6"/>
        <v>300000</v>
      </c>
      <c r="G247" s="22">
        <v>162000</v>
      </c>
      <c r="H247" s="22">
        <f t="shared" si="7"/>
        <v>138000</v>
      </c>
      <c r="I247" s="20" t="s">
        <v>242</v>
      </c>
      <c r="J247" s="20" t="str">
        <f>TEXT(SalesHistory[[#This Row],[日付]],"yyyy-mm")</f>
        <v>2025-11</v>
      </c>
      <c r="K247" s="35">
        <f>YEAR(SalesHistory[[#This Row],[日付]])</f>
        <v>2025</v>
      </c>
      <c r="L247" s="35">
        <f>MONTH(SalesHistory[[#This Row],[日付]])</f>
        <v>11</v>
      </c>
    </row>
    <row r="248" spans="1:12" ht="24.95" customHeight="1">
      <c r="A248" s="21">
        <v>45966</v>
      </c>
      <c r="B248" s="20" t="s">
        <v>2</v>
      </c>
      <c r="C248" s="20" t="s">
        <v>60</v>
      </c>
      <c r="D248" s="22">
        <v>16</v>
      </c>
      <c r="E248" s="22">
        <v>15000</v>
      </c>
      <c r="F248" s="22">
        <f t="shared" si="6"/>
        <v>240000</v>
      </c>
      <c r="G248" s="22">
        <v>144000</v>
      </c>
      <c r="H248" s="22">
        <f t="shared" si="7"/>
        <v>96000</v>
      </c>
      <c r="I248" s="20" t="s">
        <v>242</v>
      </c>
      <c r="J248" s="20" t="str">
        <f>TEXT(SalesHistory[[#This Row],[日付]],"yyyy-mm")</f>
        <v>2025-11</v>
      </c>
      <c r="K248" s="35">
        <f>YEAR(SalesHistory[[#This Row],[日付]])</f>
        <v>2025</v>
      </c>
      <c r="L248" s="35">
        <f>MONTH(SalesHistory[[#This Row],[日付]])</f>
        <v>11</v>
      </c>
    </row>
    <row r="249" spans="1:12" ht="24.95" customHeight="1">
      <c r="A249" s="21">
        <v>45976</v>
      </c>
      <c r="B249" s="20" t="s">
        <v>2</v>
      </c>
      <c r="C249" s="20" t="s">
        <v>60</v>
      </c>
      <c r="D249" s="22">
        <v>4</v>
      </c>
      <c r="E249" s="22">
        <v>15000</v>
      </c>
      <c r="F249" s="22">
        <f t="shared" si="6"/>
        <v>60000</v>
      </c>
      <c r="G249" s="22">
        <v>36000</v>
      </c>
      <c r="H249" s="22">
        <f t="shared" si="7"/>
        <v>24000</v>
      </c>
      <c r="I249" s="20" t="s">
        <v>242</v>
      </c>
      <c r="J249" s="20" t="str">
        <f>TEXT(SalesHistory[[#This Row],[日付]],"yyyy-mm")</f>
        <v>2025-11</v>
      </c>
      <c r="K249" s="35">
        <f>YEAR(SalesHistory[[#This Row],[日付]])</f>
        <v>2025</v>
      </c>
      <c r="L249" s="35">
        <f>MONTH(SalesHistory[[#This Row],[日付]])</f>
        <v>11</v>
      </c>
    </row>
    <row r="250" spans="1:12" ht="24.95" customHeight="1">
      <c r="A250" s="21">
        <v>45986</v>
      </c>
      <c r="B250" s="20" t="s">
        <v>2</v>
      </c>
      <c r="C250" s="20" t="s">
        <v>60</v>
      </c>
      <c r="D250" s="22">
        <v>9</v>
      </c>
      <c r="E250" s="22">
        <v>15000</v>
      </c>
      <c r="F250" s="22">
        <f t="shared" si="6"/>
        <v>135000</v>
      </c>
      <c r="G250" s="22">
        <v>81000</v>
      </c>
      <c r="H250" s="22">
        <f t="shared" si="7"/>
        <v>54000</v>
      </c>
      <c r="I250" s="20" t="s">
        <v>242</v>
      </c>
      <c r="J250" s="20" t="str">
        <f>TEXT(SalesHistory[[#This Row],[日付]],"yyyy-mm")</f>
        <v>2025-11</v>
      </c>
      <c r="K250" s="35">
        <f>YEAR(SalesHistory[[#This Row],[日付]])</f>
        <v>2025</v>
      </c>
      <c r="L250" s="35">
        <f>MONTH(SalesHistory[[#This Row],[日付]])</f>
        <v>11</v>
      </c>
    </row>
    <row r="251" spans="1:12" ht="24.95" customHeight="1">
      <c r="A251" s="21">
        <v>45966</v>
      </c>
      <c r="B251" s="20" t="s">
        <v>2</v>
      </c>
      <c r="C251" s="20" t="s">
        <v>231</v>
      </c>
      <c r="D251" s="22">
        <v>2</v>
      </c>
      <c r="E251" s="22">
        <v>35000</v>
      </c>
      <c r="F251" s="22">
        <f t="shared" si="6"/>
        <v>70000</v>
      </c>
      <c r="G251" s="22">
        <v>46200</v>
      </c>
      <c r="H251" s="22">
        <f t="shared" si="7"/>
        <v>23800</v>
      </c>
      <c r="I251" s="20" t="s">
        <v>242</v>
      </c>
      <c r="J251" s="20" t="str">
        <f>TEXT(SalesHistory[[#This Row],[日付]],"yyyy-mm")</f>
        <v>2025-11</v>
      </c>
      <c r="K251" s="35">
        <f>YEAR(SalesHistory[[#This Row],[日付]])</f>
        <v>2025</v>
      </c>
      <c r="L251" s="35">
        <f>MONTH(SalesHistory[[#This Row],[日付]])</f>
        <v>11</v>
      </c>
    </row>
    <row r="252" spans="1:12" ht="24.95" customHeight="1">
      <c r="A252" s="21">
        <v>45976</v>
      </c>
      <c r="B252" s="20" t="s">
        <v>2</v>
      </c>
      <c r="C252" s="20" t="s">
        <v>231</v>
      </c>
      <c r="D252" s="22">
        <v>7</v>
      </c>
      <c r="E252" s="22">
        <v>35000</v>
      </c>
      <c r="F252" s="22">
        <f t="shared" si="6"/>
        <v>245000</v>
      </c>
      <c r="G252" s="22">
        <v>161700</v>
      </c>
      <c r="H252" s="22">
        <f t="shared" si="7"/>
        <v>83300</v>
      </c>
      <c r="I252" s="20" t="s">
        <v>242</v>
      </c>
      <c r="J252" s="20" t="str">
        <f>TEXT(SalesHistory[[#This Row],[日付]],"yyyy-mm")</f>
        <v>2025-11</v>
      </c>
      <c r="K252" s="35">
        <f>YEAR(SalesHistory[[#This Row],[日付]])</f>
        <v>2025</v>
      </c>
      <c r="L252" s="35">
        <f>MONTH(SalesHistory[[#This Row],[日付]])</f>
        <v>11</v>
      </c>
    </row>
    <row r="253" spans="1:12" ht="24.95" customHeight="1">
      <c r="A253" s="21">
        <v>45986</v>
      </c>
      <c r="B253" s="20" t="s">
        <v>2</v>
      </c>
      <c r="C253" s="20" t="s">
        <v>231</v>
      </c>
      <c r="D253" s="22">
        <v>12</v>
      </c>
      <c r="E253" s="22">
        <v>35000</v>
      </c>
      <c r="F253" s="22">
        <f t="shared" si="6"/>
        <v>420000</v>
      </c>
      <c r="G253" s="22">
        <v>277200</v>
      </c>
      <c r="H253" s="22">
        <f t="shared" si="7"/>
        <v>142800</v>
      </c>
      <c r="I253" s="20" t="s">
        <v>242</v>
      </c>
      <c r="J253" s="20" t="str">
        <f>TEXT(SalesHistory[[#This Row],[日付]],"yyyy-mm")</f>
        <v>2025-11</v>
      </c>
      <c r="K253" s="35">
        <f>YEAR(SalesHistory[[#This Row],[日付]])</f>
        <v>2025</v>
      </c>
      <c r="L253" s="35">
        <f>MONTH(SalesHistory[[#This Row],[日付]])</f>
        <v>11</v>
      </c>
    </row>
    <row r="254" spans="1:12" ht="24.95" customHeight="1">
      <c r="A254" s="21">
        <v>45966</v>
      </c>
      <c r="B254" s="20" t="s">
        <v>2</v>
      </c>
      <c r="C254" s="20" t="s">
        <v>232</v>
      </c>
      <c r="D254" s="22">
        <v>5</v>
      </c>
      <c r="E254" s="22">
        <v>2500</v>
      </c>
      <c r="F254" s="22">
        <f t="shared" si="6"/>
        <v>12500</v>
      </c>
      <c r="G254" s="22">
        <v>9000</v>
      </c>
      <c r="H254" s="22">
        <f t="shared" si="7"/>
        <v>3500</v>
      </c>
      <c r="I254" s="20" t="s">
        <v>242</v>
      </c>
      <c r="J254" s="20" t="str">
        <f>TEXT(SalesHistory[[#This Row],[日付]],"yyyy-mm")</f>
        <v>2025-11</v>
      </c>
      <c r="K254" s="35">
        <f>YEAR(SalesHistory[[#This Row],[日付]])</f>
        <v>2025</v>
      </c>
      <c r="L254" s="35">
        <f>MONTH(SalesHistory[[#This Row],[日付]])</f>
        <v>11</v>
      </c>
    </row>
    <row r="255" spans="1:12" ht="24.95" customHeight="1">
      <c r="A255" s="21">
        <v>45976</v>
      </c>
      <c r="B255" s="20" t="s">
        <v>2</v>
      </c>
      <c r="C255" s="20" t="s">
        <v>232</v>
      </c>
      <c r="D255" s="22">
        <v>10</v>
      </c>
      <c r="E255" s="22">
        <v>2500</v>
      </c>
      <c r="F255" s="22">
        <f t="shared" si="6"/>
        <v>25000</v>
      </c>
      <c r="G255" s="22">
        <v>18000</v>
      </c>
      <c r="H255" s="22">
        <f t="shared" si="7"/>
        <v>7000</v>
      </c>
      <c r="I255" s="20" t="s">
        <v>242</v>
      </c>
      <c r="J255" s="20" t="str">
        <f>TEXT(SalesHistory[[#This Row],[日付]],"yyyy-mm")</f>
        <v>2025-11</v>
      </c>
      <c r="K255" s="35">
        <f>YEAR(SalesHistory[[#This Row],[日付]])</f>
        <v>2025</v>
      </c>
      <c r="L255" s="35">
        <f>MONTH(SalesHistory[[#This Row],[日付]])</f>
        <v>11</v>
      </c>
    </row>
    <row r="256" spans="1:12" ht="24.95" customHeight="1">
      <c r="A256" s="21">
        <v>45986</v>
      </c>
      <c r="B256" s="20" t="s">
        <v>2</v>
      </c>
      <c r="C256" s="20" t="s">
        <v>232</v>
      </c>
      <c r="D256" s="22">
        <v>15</v>
      </c>
      <c r="E256" s="22">
        <v>2500</v>
      </c>
      <c r="F256" s="22">
        <f t="shared" si="6"/>
        <v>37500</v>
      </c>
      <c r="G256" s="22">
        <v>27000</v>
      </c>
      <c r="H256" s="22">
        <f t="shared" si="7"/>
        <v>10500</v>
      </c>
      <c r="I256" s="20" t="s">
        <v>242</v>
      </c>
      <c r="J256" s="20" t="str">
        <f>TEXT(SalesHistory[[#This Row],[日付]],"yyyy-mm")</f>
        <v>2025-11</v>
      </c>
      <c r="K256" s="35">
        <f>YEAR(SalesHistory[[#This Row],[日付]])</f>
        <v>2025</v>
      </c>
      <c r="L256" s="35">
        <f>MONTH(SalesHistory[[#This Row],[日付]])</f>
        <v>11</v>
      </c>
    </row>
    <row r="257" spans="1:12" ht="24.95" customHeight="1">
      <c r="A257" s="21">
        <v>45966</v>
      </c>
      <c r="B257" s="20" t="s">
        <v>128</v>
      </c>
      <c r="C257" s="20" t="s">
        <v>148</v>
      </c>
      <c r="D257" s="22">
        <v>26</v>
      </c>
      <c r="E257" s="22">
        <v>2000</v>
      </c>
      <c r="F257" s="22">
        <f t="shared" si="6"/>
        <v>52000</v>
      </c>
      <c r="G257" s="22">
        <v>24960</v>
      </c>
      <c r="H257" s="22">
        <f t="shared" si="7"/>
        <v>27040</v>
      </c>
      <c r="I257" s="20" t="s">
        <v>242</v>
      </c>
      <c r="J257" s="20" t="str">
        <f>TEXT(SalesHistory[[#This Row],[日付]],"yyyy-mm")</f>
        <v>2025-11</v>
      </c>
      <c r="K257" s="35">
        <f>YEAR(SalesHistory[[#This Row],[日付]])</f>
        <v>2025</v>
      </c>
      <c r="L257" s="35">
        <f>MONTH(SalesHistory[[#This Row],[日付]])</f>
        <v>11</v>
      </c>
    </row>
    <row r="258" spans="1:12" ht="24.95" customHeight="1">
      <c r="A258" s="21">
        <v>45976</v>
      </c>
      <c r="B258" s="20" t="s">
        <v>128</v>
      </c>
      <c r="C258" s="20" t="s">
        <v>148</v>
      </c>
      <c r="D258" s="22">
        <v>31</v>
      </c>
      <c r="E258" s="22">
        <v>2000</v>
      </c>
      <c r="F258" s="22">
        <f t="shared" si="6"/>
        <v>62000</v>
      </c>
      <c r="G258" s="22">
        <v>29760</v>
      </c>
      <c r="H258" s="22">
        <f t="shared" si="7"/>
        <v>32240</v>
      </c>
      <c r="I258" s="20" t="s">
        <v>242</v>
      </c>
      <c r="J258" s="20" t="str">
        <f>TEXT(SalesHistory[[#This Row],[日付]],"yyyy-mm")</f>
        <v>2025-11</v>
      </c>
      <c r="K258" s="35">
        <f>YEAR(SalesHistory[[#This Row],[日付]])</f>
        <v>2025</v>
      </c>
      <c r="L258" s="35">
        <f>MONTH(SalesHistory[[#This Row],[日付]])</f>
        <v>11</v>
      </c>
    </row>
    <row r="259" spans="1:12" ht="24.95" customHeight="1">
      <c r="A259" s="21">
        <v>45986</v>
      </c>
      <c r="B259" s="20" t="s">
        <v>128</v>
      </c>
      <c r="C259" s="20" t="s">
        <v>148</v>
      </c>
      <c r="D259" s="22">
        <v>36</v>
      </c>
      <c r="E259" s="22">
        <v>2000</v>
      </c>
      <c r="F259" s="22">
        <f t="shared" si="6"/>
        <v>72000</v>
      </c>
      <c r="G259" s="22">
        <v>34560</v>
      </c>
      <c r="H259" s="22">
        <f t="shared" si="7"/>
        <v>37440</v>
      </c>
      <c r="I259" s="20" t="s">
        <v>242</v>
      </c>
      <c r="J259" s="20" t="str">
        <f>TEXT(SalesHistory[[#This Row],[日付]],"yyyy-mm")</f>
        <v>2025-11</v>
      </c>
      <c r="K259" s="35">
        <f>YEAR(SalesHistory[[#This Row],[日付]])</f>
        <v>2025</v>
      </c>
      <c r="L259" s="35">
        <f>MONTH(SalesHistory[[#This Row],[日付]])</f>
        <v>11</v>
      </c>
    </row>
    <row r="260" spans="1:12" ht="24.95" customHeight="1">
      <c r="A260" s="21">
        <v>45966</v>
      </c>
      <c r="B260" s="20" t="s">
        <v>128</v>
      </c>
      <c r="C260" s="20" t="s">
        <v>233</v>
      </c>
      <c r="D260" s="22">
        <v>29</v>
      </c>
      <c r="E260" s="22">
        <v>1800</v>
      </c>
      <c r="F260" s="22">
        <f t="shared" si="6"/>
        <v>52200</v>
      </c>
      <c r="G260" s="22">
        <v>28188</v>
      </c>
      <c r="H260" s="22">
        <f t="shared" si="7"/>
        <v>24012</v>
      </c>
      <c r="I260" s="20" t="s">
        <v>242</v>
      </c>
      <c r="J260" s="20" t="str">
        <f>TEXT(SalesHistory[[#This Row],[日付]],"yyyy-mm")</f>
        <v>2025-11</v>
      </c>
      <c r="K260" s="35">
        <f>YEAR(SalesHistory[[#This Row],[日付]])</f>
        <v>2025</v>
      </c>
      <c r="L260" s="35">
        <f>MONTH(SalesHistory[[#This Row],[日付]])</f>
        <v>11</v>
      </c>
    </row>
    <row r="261" spans="1:12" ht="24.95" customHeight="1">
      <c r="A261" s="21">
        <v>45976</v>
      </c>
      <c r="B261" s="20" t="s">
        <v>128</v>
      </c>
      <c r="C261" s="20" t="s">
        <v>233</v>
      </c>
      <c r="D261" s="22">
        <v>34</v>
      </c>
      <c r="E261" s="22">
        <v>1800</v>
      </c>
      <c r="F261" s="22">
        <f t="shared" ref="F261:F324" si="8">ROUND(D261*E261,0)</f>
        <v>61200</v>
      </c>
      <c r="G261" s="22">
        <v>33048</v>
      </c>
      <c r="H261" s="22">
        <f t="shared" ref="H261:H324" si="9">F261-G261</f>
        <v>28152</v>
      </c>
      <c r="I261" s="20" t="s">
        <v>242</v>
      </c>
      <c r="J261" s="20" t="str">
        <f>TEXT(SalesHistory[[#This Row],[日付]],"yyyy-mm")</f>
        <v>2025-11</v>
      </c>
      <c r="K261" s="35">
        <f>YEAR(SalesHistory[[#This Row],[日付]])</f>
        <v>2025</v>
      </c>
      <c r="L261" s="35">
        <f>MONTH(SalesHistory[[#This Row],[日付]])</f>
        <v>11</v>
      </c>
    </row>
    <row r="262" spans="1:12" ht="24.95" customHeight="1">
      <c r="A262" s="21">
        <v>45986</v>
      </c>
      <c r="B262" s="20" t="s">
        <v>128</v>
      </c>
      <c r="C262" s="20" t="s">
        <v>233</v>
      </c>
      <c r="D262" s="22">
        <v>22</v>
      </c>
      <c r="E262" s="22">
        <v>1800</v>
      </c>
      <c r="F262" s="22">
        <f t="shared" si="8"/>
        <v>39600</v>
      </c>
      <c r="G262" s="22">
        <v>21384</v>
      </c>
      <c r="H262" s="22">
        <f t="shared" si="9"/>
        <v>18216</v>
      </c>
      <c r="I262" s="20" t="s">
        <v>242</v>
      </c>
      <c r="J262" s="20" t="str">
        <f>TEXT(SalesHistory[[#This Row],[日付]],"yyyy-mm")</f>
        <v>2025-11</v>
      </c>
      <c r="K262" s="35">
        <f>YEAR(SalesHistory[[#This Row],[日付]])</f>
        <v>2025</v>
      </c>
      <c r="L262" s="35">
        <f>MONTH(SalesHistory[[#This Row],[日付]])</f>
        <v>11</v>
      </c>
    </row>
    <row r="263" spans="1:12" ht="24.95" customHeight="1">
      <c r="A263" s="21">
        <v>45966</v>
      </c>
      <c r="B263" s="20" t="s">
        <v>128</v>
      </c>
      <c r="C263" s="20" t="s">
        <v>234</v>
      </c>
      <c r="D263" s="22">
        <v>32</v>
      </c>
      <c r="E263" s="22">
        <v>3200</v>
      </c>
      <c r="F263" s="22">
        <f t="shared" si="8"/>
        <v>102400</v>
      </c>
      <c r="G263" s="22">
        <v>61440</v>
      </c>
      <c r="H263" s="22">
        <f t="shared" si="9"/>
        <v>40960</v>
      </c>
      <c r="I263" s="20" t="s">
        <v>242</v>
      </c>
      <c r="J263" s="20" t="str">
        <f>TEXT(SalesHistory[[#This Row],[日付]],"yyyy-mm")</f>
        <v>2025-11</v>
      </c>
      <c r="K263" s="35">
        <f>YEAR(SalesHistory[[#This Row],[日付]])</f>
        <v>2025</v>
      </c>
      <c r="L263" s="35">
        <f>MONTH(SalesHistory[[#This Row],[日付]])</f>
        <v>11</v>
      </c>
    </row>
    <row r="264" spans="1:12" ht="24.95" customHeight="1">
      <c r="A264" s="21">
        <v>45976</v>
      </c>
      <c r="B264" s="20" t="s">
        <v>128</v>
      </c>
      <c r="C264" s="20" t="s">
        <v>234</v>
      </c>
      <c r="D264" s="22">
        <v>20</v>
      </c>
      <c r="E264" s="22">
        <v>3200</v>
      </c>
      <c r="F264" s="22">
        <f t="shared" si="8"/>
        <v>64000</v>
      </c>
      <c r="G264" s="22">
        <v>38400</v>
      </c>
      <c r="H264" s="22">
        <f t="shared" si="9"/>
        <v>25600</v>
      </c>
      <c r="I264" s="20" t="s">
        <v>242</v>
      </c>
      <c r="J264" s="20" t="str">
        <f>TEXT(SalesHistory[[#This Row],[日付]],"yyyy-mm")</f>
        <v>2025-11</v>
      </c>
      <c r="K264" s="35">
        <f>YEAR(SalesHistory[[#This Row],[日付]])</f>
        <v>2025</v>
      </c>
      <c r="L264" s="35">
        <f>MONTH(SalesHistory[[#This Row],[日付]])</f>
        <v>11</v>
      </c>
    </row>
    <row r="265" spans="1:12" ht="24.95" customHeight="1">
      <c r="A265" s="21">
        <v>45986</v>
      </c>
      <c r="B265" s="20" t="s">
        <v>128</v>
      </c>
      <c r="C265" s="20" t="s">
        <v>234</v>
      </c>
      <c r="D265" s="22">
        <v>25</v>
      </c>
      <c r="E265" s="22">
        <v>3200</v>
      </c>
      <c r="F265" s="22">
        <f t="shared" si="8"/>
        <v>80000</v>
      </c>
      <c r="G265" s="22">
        <v>48000</v>
      </c>
      <c r="H265" s="22">
        <f t="shared" si="9"/>
        <v>32000</v>
      </c>
      <c r="I265" s="20" t="s">
        <v>242</v>
      </c>
      <c r="J265" s="20" t="str">
        <f>TEXT(SalesHistory[[#This Row],[日付]],"yyyy-mm")</f>
        <v>2025-11</v>
      </c>
      <c r="K265" s="35">
        <f>YEAR(SalesHistory[[#This Row],[日付]])</f>
        <v>2025</v>
      </c>
      <c r="L265" s="35">
        <f>MONTH(SalesHistory[[#This Row],[日付]])</f>
        <v>11</v>
      </c>
    </row>
    <row r="266" spans="1:12" ht="24.95" customHeight="1">
      <c r="A266" s="21">
        <v>45966</v>
      </c>
      <c r="B266" s="20" t="s">
        <v>128</v>
      </c>
      <c r="C266" s="20" t="s">
        <v>235</v>
      </c>
      <c r="D266" s="22">
        <v>35</v>
      </c>
      <c r="E266" s="22">
        <v>4000</v>
      </c>
      <c r="F266" s="22">
        <f t="shared" si="8"/>
        <v>140000</v>
      </c>
      <c r="G266" s="22">
        <v>92400</v>
      </c>
      <c r="H266" s="22">
        <f t="shared" si="9"/>
        <v>47600</v>
      </c>
      <c r="I266" s="20" t="s">
        <v>242</v>
      </c>
      <c r="J266" s="20" t="str">
        <f>TEXT(SalesHistory[[#This Row],[日付]],"yyyy-mm")</f>
        <v>2025-11</v>
      </c>
      <c r="K266" s="35">
        <f>YEAR(SalesHistory[[#This Row],[日付]])</f>
        <v>2025</v>
      </c>
      <c r="L266" s="35">
        <f>MONTH(SalesHistory[[#This Row],[日付]])</f>
        <v>11</v>
      </c>
    </row>
    <row r="267" spans="1:12" ht="24.95" customHeight="1">
      <c r="A267" s="21">
        <v>45976</v>
      </c>
      <c r="B267" s="20" t="s">
        <v>128</v>
      </c>
      <c r="C267" s="20" t="s">
        <v>235</v>
      </c>
      <c r="D267" s="22">
        <v>23</v>
      </c>
      <c r="E267" s="22">
        <v>4000</v>
      </c>
      <c r="F267" s="22">
        <f t="shared" si="8"/>
        <v>92000</v>
      </c>
      <c r="G267" s="22">
        <v>60720</v>
      </c>
      <c r="H267" s="22">
        <f t="shared" si="9"/>
        <v>31280</v>
      </c>
      <c r="I267" s="20" t="s">
        <v>242</v>
      </c>
      <c r="J267" s="20" t="str">
        <f>TEXT(SalesHistory[[#This Row],[日付]],"yyyy-mm")</f>
        <v>2025-11</v>
      </c>
      <c r="K267" s="35">
        <f>YEAR(SalesHistory[[#This Row],[日付]])</f>
        <v>2025</v>
      </c>
      <c r="L267" s="35">
        <f>MONTH(SalesHistory[[#This Row],[日付]])</f>
        <v>11</v>
      </c>
    </row>
    <row r="268" spans="1:12" ht="24.95" customHeight="1">
      <c r="A268" s="21">
        <v>45986</v>
      </c>
      <c r="B268" s="20" t="s">
        <v>128</v>
      </c>
      <c r="C268" s="20" t="s">
        <v>235</v>
      </c>
      <c r="D268" s="22">
        <v>28</v>
      </c>
      <c r="E268" s="22">
        <v>4000</v>
      </c>
      <c r="F268" s="22">
        <f t="shared" si="8"/>
        <v>112000</v>
      </c>
      <c r="G268" s="22">
        <v>73920</v>
      </c>
      <c r="H268" s="22">
        <f t="shared" si="9"/>
        <v>38080</v>
      </c>
      <c r="I268" s="20" t="s">
        <v>242</v>
      </c>
      <c r="J268" s="20" t="str">
        <f>TEXT(SalesHistory[[#This Row],[日付]],"yyyy-mm")</f>
        <v>2025-11</v>
      </c>
      <c r="K268" s="35">
        <f>YEAR(SalesHistory[[#This Row],[日付]])</f>
        <v>2025</v>
      </c>
      <c r="L268" s="35">
        <f>MONTH(SalesHistory[[#This Row],[日付]])</f>
        <v>11</v>
      </c>
    </row>
    <row r="269" spans="1:12" ht="24.95" customHeight="1">
      <c r="A269" s="21">
        <v>45996</v>
      </c>
      <c r="B269" s="20" t="s">
        <v>2</v>
      </c>
      <c r="C269" s="20" t="s">
        <v>56</v>
      </c>
      <c r="D269" s="22">
        <v>3</v>
      </c>
      <c r="E269" s="22">
        <v>50000</v>
      </c>
      <c r="F269" s="22">
        <f t="shared" si="8"/>
        <v>150000</v>
      </c>
      <c r="G269" s="22">
        <v>90000</v>
      </c>
      <c r="H269" s="22">
        <f t="shared" si="9"/>
        <v>60000</v>
      </c>
      <c r="I269" s="20" t="s">
        <v>242</v>
      </c>
      <c r="J269" s="20" t="str">
        <f>TEXT(SalesHistory[[#This Row],[日付]],"yyyy-mm")</f>
        <v>2025-12</v>
      </c>
      <c r="K269" s="35">
        <f>YEAR(SalesHistory[[#This Row],[日付]])</f>
        <v>2025</v>
      </c>
      <c r="L269" s="35">
        <f>MONTH(SalesHistory[[#This Row],[日付]])</f>
        <v>12</v>
      </c>
    </row>
    <row r="270" spans="1:12" ht="24.95" customHeight="1">
      <c r="A270" s="21">
        <v>46006</v>
      </c>
      <c r="B270" s="20" t="s">
        <v>2</v>
      </c>
      <c r="C270" s="20" t="s">
        <v>56</v>
      </c>
      <c r="D270" s="22">
        <v>8</v>
      </c>
      <c r="E270" s="22">
        <v>50000</v>
      </c>
      <c r="F270" s="22">
        <f t="shared" si="8"/>
        <v>400000</v>
      </c>
      <c r="G270" s="22">
        <v>240000</v>
      </c>
      <c r="H270" s="22">
        <f t="shared" si="9"/>
        <v>160000</v>
      </c>
      <c r="I270" s="20" t="s">
        <v>242</v>
      </c>
      <c r="J270" s="20" t="str">
        <f>TEXT(SalesHistory[[#This Row],[日付]],"yyyy-mm")</f>
        <v>2025-12</v>
      </c>
      <c r="K270" s="35">
        <f>YEAR(SalesHistory[[#This Row],[日付]])</f>
        <v>2025</v>
      </c>
      <c r="L270" s="35">
        <f>MONTH(SalesHistory[[#This Row],[日付]])</f>
        <v>12</v>
      </c>
    </row>
    <row r="271" spans="1:12" ht="24.95" customHeight="1">
      <c r="A271" s="21">
        <v>46016</v>
      </c>
      <c r="B271" s="20" t="s">
        <v>2</v>
      </c>
      <c r="C271" s="20" t="s">
        <v>56</v>
      </c>
      <c r="D271" s="22">
        <v>13</v>
      </c>
      <c r="E271" s="22">
        <v>50000</v>
      </c>
      <c r="F271" s="22">
        <f t="shared" si="8"/>
        <v>650000</v>
      </c>
      <c r="G271" s="22">
        <v>390000</v>
      </c>
      <c r="H271" s="22">
        <f t="shared" si="9"/>
        <v>260000</v>
      </c>
      <c r="I271" s="20" t="s">
        <v>242</v>
      </c>
      <c r="J271" s="20" t="str">
        <f>TEXT(SalesHistory[[#This Row],[日付]],"yyyy-mm")</f>
        <v>2025-12</v>
      </c>
      <c r="K271" s="35">
        <f>YEAR(SalesHistory[[#This Row],[日付]])</f>
        <v>2025</v>
      </c>
      <c r="L271" s="35">
        <f>MONTH(SalesHistory[[#This Row],[日付]])</f>
        <v>12</v>
      </c>
    </row>
    <row r="272" spans="1:12" ht="24.95" customHeight="1">
      <c r="A272" s="21">
        <v>45996</v>
      </c>
      <c r="B272" s="20" t="s">
        <v>2</v>
      </c>
      <c r="C272" s="20" t="s">
        <v>60</v>
      </c>
      <c r="D272" s="22">
        <v>6</v>
      </c>
      <c r="E272" s="22">
        <v>15000</v>
      </c>
      <c r="F272" s="22">
        <f t="shared" si="8"/>
        <v>90000</v>
      </c>
      <c r="G272" s="22">
        <v>59400</v>
      </c>
      <c r="H272" s="22">
        <f t="shared" si="9"/>
        <v>30600</v>
      </c>
      <c r="I272" s="20" t="s">
        <v>242</v>
      </c>
      <c r="J272" s="20" t="str">
        <f>TEXT(SalesHistory[[#This Row],[日付]],"yyyy-mm")</f>
        <v>2025-12</v>
      </c>
      <c r="K272" s="35">
        <f>YEAR(SalesHistory[[#This Row],[日付]])</f>
        <v>2025</v>
      </c>
      <c r="L272" s="35">
        <f>MONTH(SalesHistory[[#This Row],[日付]])</f>
        <v>12</v>
      </c>
    </row>
    <row r="273" spans="1:12" ht="24.95" customHeight="1">
      <c r="A273" s="21">
        <v>46006</v>
      </c>
      <c r="B273" s="20" t="s">
        <v>2</v>
      </c>
      <c r="C273" s="20" t="s">
        <v>60</v>
      </c>
      <c r="D273" s="22">
        <v>11</v>
      </c>
      <c r="E273" s="22">
        <v>15000</v>
      </c>
      <c r="F273" s="22">
        <f t="shared" si="8"/>
        <v>165000</v>
      </c>
      <c r="G273" s="22">
        <v>108900</v>
      </c>
      <c r="H273" s="22">
        <f t="shared" si="9"/>
        <v>56100</v>
      </c>
      <c r="I273" s="20" t="s">
        <v>242</v>
      </c>
      <c r="J273" s="20" t="str">
        <f>TEXT(SalesHistory[[#This Row],[日付]],"yyyy-mm")</f>
        <v>2025-12</v>
      </c>
      <c r="K273" s="35">
        <f>YEAR(SalesHistory[[#This Row],[日付]])</f>
        <v>2025</v>
      </c>
      <c r="L273" s="35">
        <f>MONTH(SalesHistory[[#This Row],[日付]])</f>
        <v>12</v>
      </c>
    </row>
    <row r="274" spans="1:12" ht="24.95" customHeight="1">
      <c r="A274" s="21">
        <v>46016</v>
      </c>
      <c r="B274" s="20" t="s">
        <v>2</v>
      </c>
      <c r="C274" s="20" t="s">
        <v>60</v>
      </c>
      <c r="D274" s="22">
        <v>16</v>
      </c>
      <c r="E274" s="22">
        <v>15000</v>
      </c>
      <c r="F274" s="22">
        <f t="shared" si="8"/>
        <v>240000</v>
      </c>
      <c r="G274" s="22">
        <v>158400</v>
      </c>
      <c r="H274" s="22">
        <f t="shared" si="9"/>
        <v>81600</v>
      </c>
      <c r="I274" s="20" t="s">
        <v>242</v>
      </c>
      <c r="J274" s="20" t="str">
        <f>TEXT(SalesHistory[[#This Row],[日付]],"yyyy-mm")</f>
        <v>2025-12</v>
      </c>
      <c r="K274" s="35">
        <f>YEAR(SalesHistory[[#This Row],[日付]])</f>
        <v>2025</v>
      </c>
      <c r="L274" s="35">
        <f>MONTH(SalesHistory[[#This Row],[日付]])</f>
        <v>12</v>
      </c>
    </row>
    <row r="275" spans="1:12" ht="24.95" customHeight="1">
      <c r="A275" s="21">
        <v>45996</v>
      </c>
      <c r="B275" s="20" t="s">
        <v>2</v>
      </c>
      <c r="C275" s="20" t="s">
        <v>231</v>
      </c>
      <c r="D275" s="22">
        <v>9</v>
      </c>
      <c r="E275" s="22">
        <v>35000</v>
      </c>
      <c r="F275" s="22">
        <f t="shared" si="8"/>
        <v>315000</v>
      </c>
      <c r="G275" s="22">
        <v>226800</v>
      </c>
      <c r="H275" s="22">
        <f t="shared" si="9"/>
        <v>88200</v>
      </c>
      <c r="I275" s="20" t="s">
        <v>242</v>
      </c>
      <c r="J275" s="20" t="str">
        <f>TEXT(SalesHistory[[#This Row],[日付]],"yyyy-mm")</f>
        <v>2025-12</v>
      </c>
      <c r="K275" s="35">
        <f>YEAR(SalesHistory[[#This Row],[日付]])</f>
        <v>2025</v>
      </c>
      <c r="L275" s="35">
        <f>MONTH(SalesHistory[[#This Row],[日付]])</f>
        <v>12</v>
      </c>
    </row>
    <row r="276" spans="1:12" ht="24.95" customHeight="1">
      <c r="A276" s="21">
        <v>46006</v>
      </c>
      <c r="B276" s="20" t="s">
        <v>2</v>
      </c>
      <c r="C276" s="20" t="s">
        <v>231</v>
      </c>
      <c r="D276" s="22">
        <v>14</v>
      </c>
      <c r="E276" s="22">
        <v>35000</v>
      </c>
      <c r="F276" s="22">
        <f t="shared" si="8"/>
        <v>490000</v>
      </c>
      <c r="G276" s="22">
        <v>352800</v>
      </c>
      <c r="H276" s="22">
        <f t="shared" si="9"/>
        <v>137200</v>
      </c>
      <c r="I276" s="20" t="s">
        <v>242</v>
      </c>
      <c r="J276" s="20" t="str">
        <f>TEXT(SalesHistory[[#This Row],[日付]],"yyyy-mm")</f>
        <v>2025-12</v>
      </c>
      <c r="K276" s="35">
        <f>YEAR(SalesHistory[[#This Row],[日付]])</f>
        <v>2025</v>
      </c>
      <c r="L276" s="35">
        <f>MONTH(SalesHistory[[#This Row],[日付]])</f>
        <v>12</v>
      </c>
    </row>
    <row r="277" spans="1:12" ht="24.95" customHeight="1">
      <c r="A277" s="21">
        <v>46016</v>
      </c>
      <c r="B277" s="20" t="s">
        <v>2</v>
      </c>
      <c r="C277" s="20" t="s">
        <v>231</v>
      </c>
      <c r="D277" s="22">
        <v>2</v>
      </c>
      <c r="E277" s="22">
        <v>35000</v>
      </c>
      <c r="F277" s="22">
        <f t="shared" si="8"/>
        <v>70000</v>
      </c>
      <c r="G277" s="22">
        <v>50400</v>
      </c>
      <c r="H277" s="22">
        <f t="shared" si="9"/>
        <v>19600</v>
      </c>
      <c r="I277" s="20" t="s">
        <v>242</v>
      </c>
      <c r="J277" s="20" t="str">
        <f>TEXT(SalesHistory[[#This Row],[日付]],"yyyy-mm")</f>
        <v>2025-12</v>
      </c>
      <c r="K277" s="35">
        <f>YEAR(SalesHistory[[#This Row],[日付]])</f>
        <v>2025</v>
      </c>
      <c r="L277" s="35">
        <f>MONTH(SalesHistory[[#This Row],[日付]])</f>
        <v>12</v>
      </c>
    </row>
    <row r="278" spans="1:12" ht="24.95" customHeight="1">
      <c r="A278" s="21">
        <v>45996</v>
      </c>
      <c r="B278" s="20" t="s">
        <v>2</v>
      </c>
      <c r="C278" s="20" t="s">
        <v>232</v>
      </c>
      <c r="D278" s="22">
        <v>12</v>
      </c>
      <c r="E278" s="22">
        <v>2500</v>
      </c>
      <c r="F278" s="22">
        <f t="shared" si="8"/>
        <v>30000</v>
      </c>
      <c r="G278" s="22">
        <v>14400</v>
      </c>
      <c r="H278" s="22">
        <f t="shared" si="9"/>
        <v>15600</v>
      </c>
      <c r="I278" s="20" t="s">
        <v>242</v>
      </c>
      <c r="J278" s="20" t="str">
        <f>TEXT(SalesHistory[[#This Row],[日付]],"yyyy-mm")</f>
        <v>2025-12</v>
      </c>
      <c r="K278" s="35">
        <f>YEAR(SalesHistory[[#This Row],[日付]])</f>
        <v>2025</v>
      </c>
      <c r="L278" s="35">
        <f>MONTH(SalesHistory[[#This Row],[日付]])</f>
        <v>12</v>
      </c>
    </row>
    <row r="279" spans="1:12" ht="24.95" customHeight="1">
      <c r="A279" s="21">
        <v>46006</v>
      </c>
      <c r="B279" s="20" t="s">
        <v>2</v>
      </c>
      <c r="C279" s="20" t="s">
        <v>232</v>
      </c>
      <c r="D279" s="22">
        <v>17</v>
      </c>
      <c r="E279" s="22">
        <v>2500</v>
      </c>
      <c r="F279" s="22">
        <f t="shared" si="8"/>
        <v>42500</v>
      </c>
      <c r="G279" s="22">
        <v>20400</v>
      </c>
      <c r="H279" s="22">
        <f t="shared" si="9"/>
        <v>22100</v>
      </c>
      <c r="I279" s="20" t="s">
        <v>242</v>
      </c>
      <c r="J279" s="20" t="str">
        <f>TEXT(SalesHistory[[#This Row],[日付]],"yyyy-mm")</f>
        <v>2025-12</v>
      </c>
      <c r="K279" s="35">
        <f>YEAR(SalesHistory[[#This Row],[日付]])</f>
        <v>2025</v>
      </c>
      <c r="L279" s="35">
        <f>MONTH(SalesHistory[[#This Row],[日付]])</f>
        <v>12</v>
      </c>
    </row>
    <row r="280" spans="1:12" ht="24.95" customHeight="1">
      <c r="A280" s="21">
        <v>46016</v>
      </c>
      <c r="B280" s="20" t="s">
        <v>2</v>
      </c>
      <c r="C280" s="20" t="s">
        <v>232</v>
      </c>
      <c r="D280" s="22">
        <v>5</v>
      </c>
      <c r="E280" s="22">
        <v>2500</v>
      </c>
      <c r="F280" s="22">
        <f t="shared" si="8"/>
        <v>12500</v>
      </c>
      <c r="G280" s="22">
        <v>6000</v>
      </c>
      <c r="H280" s="22">
        <f t="shared" si="9"/>
        <v>6500</v>
      </c>
      <c r="I280" s="20" t="s">
        <v>242</v>
      </c>
      <c r="J280" s="20" t="str">
        <f>TEXT(SalesHistory[[#This Row],[日付]],"yyyy-mm")</f>
        <v>2025-12</v>
      </c>
      <c r="K280" s="35">
        <f>YEAR(SalesHistory[[#This Row],[日付]])</f>
        <v>2025</v>
      </c>
      <c r="L280" s="35">
        <f>MONTH(SalesHistory[[#This Row],[日付]])</f>
        <v>12</v>
      </c>
    </row>
    <row r="281" spans="1:12" ht="24.95" customHeight="1">
      <c r="A281" s="21">
        <v>45996</v>
      </c>
      <c r="B281" s="20" t="s">
        <v>128</v>
      </c>
      <c r="C281" s="20" t="s">
        <v>148</v>
      </c>
      <c r="D281" s="22">
        <v>33</v>
      </c>
      <c r="E281" s="22">
        <v>2000</v>
      </c>
      <c r="F281" s="22">
        <f t="shared" si="8"/>
        <v>66000</v>
      </c>
      <c r="G281" s="22">
        <v>35640</v>
      </c>
      <c r="H281" s="22">
        <f t="shared" si="9"/>
        <v>30360</v>
      </c>
      <c r="I281" s="20" t="s">
        <v>242</v>
      </c>
      <c r="J281" s="20" t="str">
        <f>TEXT(SalesHistory[[#This Row],[日付]],"yyyy-mm")</f>
        <v>2025-12</v>
      </c>
      <c r="K281" s="35">
        <f>YEAR(SalesHistory[[#This Row],[日付]])</f>
        <v>2025</v>
      </c>
      <c r="L281" s="35">
        <f>MONTH(SalesHistory[[#This Row],[日付]])</f>
        <v>12</v>
      </c>
    </row>
    <row r="282" spans="1:12" ht="24.95" customHeight="1">
      <c r="A282" s="21">
        <v>46006</v>
      </c>
      <c r="B282" s="20" t="s">
        <v>128</v>
      </c>
      <c r="C282" s="20" t="s">
        <v>148</v>
      </c>
      <c r="D282" s="22">
        <v>21</v>
      </c>
      <c r="E282" s="22">
        <v>2000</v>
      </c>
      <c r="F282" s="22">
        <f t="shared" si="8"/>
        <v>42000</v>
      </c>
      <c r="G282" s="22">
        <v>22680</v>
      </c>
      <c r="H282" s="22">
        <f t="shared" si="9"/>
        <v>19320</v>
      </c>
      <c r="I282" s="20" t="s">
        <v>242</v>
      </c>
      <c r="J282" s="20" t="str">
        <f>TEXT(SalesHistory[[#This Row],[日付]],"yyyy-mm")</f>
        <v>2025-12</v>
      </c>
      <c r="K282" s="35">
        <f>YEAR(SalesHistory[[#This Row],[日付]])</f>
        <v>2025</v>
      </c>
      <c r="L282" s="35">
        <f>MONTH(SalesHistory[[#This Row],[日付]])</f>
        <v>12</v>
      </c>
    </row>
    <row r="283" spans="1:12" ht="24.95" customHeight="1">
      <c r="A283" s="21">
        <v>46016</v>
      </c>
      <c r="B283" s="20" t="s">
        <v>128</v>
      </c>
      <c r="C283" s="20" t="s">
        <v>148</v>
      </c>
      <c r="D283" s="22">
        <v>26</v>
      </c>
      <c r="E283" s="22">
        <v>2000</v>
      </c>
      <c r="F283" s="22">
        <f t="shared" si="8"/>
        <v>52000</v>
      </c>
      <c r="G283" s="22">
        <v>28080</v>
      </c>
      <c r="H283" s="22">
        <f t="shared" si="9"/>
        <v>23920</v>
      </c>
      <c r="I283" s="20" t="s">
        <v>242</v>
      </c>
      <c r="J283" s="20" t="str">
        <f>TEXT(SalesHistory[[#This Row],[日付]],"yyyy-mm")</f>
        <v>2025-12</v>
      </c>
      <c r="K283" s="35">
        <f>YEAR(SalesHistory[[#This Row],[日付]])</f>
        <v>2025</v>
      </c>
      <c r="L283" s="35">
        <f>MONTH(SalesHistory[[#This Row],[日付]])</f>
        <v>12</v>
      </c>
    </row>
    <row r="284" spans="1:12" ht="24.95" customHeight="1">
      <c r="A284" s="21">
        <v>45996</v>
      </c>
      <c r="B284" s="20" t="s">
        <v>128</v>
      </c>
      <c r="C284" s="20" t="s">
        <v>233</v>
      </c>
      <c r="D284" s="22">
        <v>36</v>
      </c>
      <c r="E284" s="22">
        <v>1800</v>
      </c>
      <c r="F284" s="22">
        <f t="shared" si="8"/>
        <v>64800</v>
      </c>
      <c r="G284" s="22">
        <v>38880</v>
      </c>
      <c r="H284" s="22">
        <f t="shared" si="9"/>
        <v>25920</v>
      </c>
      <c r="I284" s="20" t="s">
        <v>242</v>
      </c>
      <c r="J284" s="20" t="str">
        <f>TEXT(SalesHistory[[#This Row],[日付]],"yyyy-mm")</f>
        <v>2025-12</v>
      </c>
      <c r="K284" s="35">
        <f>YEAR(SalesHistory[[#This Row],[日付]])</f>
        <v>2025</v>
      </c>
      <c r="L284" s="35">
        <f>MONTH(SalesHistory[[#This Row],[日付]])</f>
        <v>12</v>
      </c>
    </row>
    <row r="285" spans="1:12" ht="24.95" customHeight="1">
      <c r="A285" s="21">
        <v>46006</v>
      </c>
      <c r="B285" s="20" t="s">
        <v>128</v>
      </c>
      <c r="C285" s="20" t="s">
        <v>233</v>
      </c>
      <c r="D285" s="22">
        <v>24</v>
      </c>
      <c r="E285" s="22">
        <v>1800</v>
      </c>
      <c r="F285" s="22">
        <f t="shared" si="8"/>
        <v>43200</v>
      </c>
      <c r="G285" s="22">
        <v>25920</v>
      </c>
      <c r="H285" s="22">
        <f t="shared" si="9"/>
        <v>17280</v>
      </c>
      <c r="I285" s="20" t="s">
        <v>242</v>
      </c>
      <c r="J285" s="20" t="str">
        <f>TEXT(SalesHistory[[#This Row],[日付]],"yyyy-mm")</f>
        <v>2025-12</v>
      </c>
      <c r="K285" s="35">
        <f>YEAR(SalesHistory[[#This Row],[日付]])</f>
        <v>2025</v>
      </c>
      <c r="L285" s="35">
        <f>MONTH(SalesHistory[[#This Row],[日付]])</f>
        <v>12</v>
      </c>
    </row>
    <row r="286" spans="1:12" ht="24.95" customHeight="1">
      <c r="A286" s="21">
        <v>46016</v>
      </c>
      <c r="B286" s="20" t="s">
        <v>128</v>
      </c>
      <c r="C286" s="20" t="s">
        <v>233</v>
      </c>
      <c r="D286" s="22">
        <v>29</v>
      </c>
      <c r="E286" s="22">
        <v>1800</v>
      </c>
      <c r="F286" s="22">
        <f t="shared" si="8"/>
        <v>52200</v>
      </c>
      <c r="G286" s="22">
        <v>31320</v>
      </c>
      <c r="H286" s="22">
        <f t="shared" si="9"/>
        <v>20880</v>
      </c>
      <c r="I286" s="20" t="s">
        <v>242</v>
      </c>
      <c r="J286" s="20" t="str">
        <f>TEXT(SalesHistory[[#This Row],[日付]],"yyyy-mm")</f>
        <v>2025-12</v>
      </c>
      <c r="K286" s="35">
        <f>YEAR(SalesHistory[[#This Row],[日付]])</f>
        <v>2025</v>
      </c>
      <c r="L286" s="35">
        <f>MONTH(SalesHistory[[#This Row],[日付]])</f>
        <v>12</v>
      </c>
    </row>
    <row r="287" spans="1:12" ht="24.95" customHeight="1">
      <c r="A287" s="21">
        <v>45996</v>
      </c>
      <c r="B287" s="20" t="s">
        <v>128</v>
      </c>
      <c r="C287" s="20" t="s">
        <v>234</v>
      </c>
      <c r="D287" s="22">
        <v>22</v>
      </c>
      <c r="E287" s="22">
        <v>3200</v>
      </c>
      <c r="F287" s="22">
        <f t="shared" si="8"/>
        <v>70400</v>
      </c>
      <c r="G287" s="22">
        <v>46464</v>
      </c>
      <c r="H287" s="22">
        <f t="shared" si="9"/>
        <v>23936</v>
      </c>
      <c r="I287" s="20" t="s">
        <v>242</v>
      </c>
      <c r="J287" s="20" t="str">
        <f>TEXT(SalesHistory[[#This Row],[日付]],"yyyy-mm")</f>
        <v>2025-12</v>
      </c>
      <c r="K287" s="35">
        <f>YEAR(SalesHistory[[#This Row],[日付]])</f>
        <v>2025</v>
      </c>
      <c r="L287" s="35">
        <f>MONTH(SalesHistory[[#This Row],[日付]])</f>
        <v>12</v>
      </c>
    </row>
    <row r="288" spans="1:12" ht="24.95" customHeight="1">
      <c r="A288" s="21">
        <v>46006</v>
      </c>
      <c r="B288" s="20" t="s">
        <v>128</v>
      </c>
      <c r="C288" s="20" t="s">
        <v>234</v>
      </c>
      <c r="D288" s="22">
        <v>27</v>
      </c>
      <c r="E288" s="22">
        <v>3200</v>
      </c>
      <c r="F288" s="22">
        <f t="shared" si="8"/>
        <v>86400</v>
      </c>
      <c r="G288" s="22">
        <v>57024</v>
      </c>
      <c r="H288" s="22">
        <f t="shared" si="9"/>
        <v>29376</v>
      </c>
      <c r="I288" s="20" t="s">
        <v>242</v>
      </c>
      <c r="J288" s="20" t="str">
        <f>TEXT(SalesHistory[[#This Row],[日付]],"yyyy-mm")</f>
        <v>2025-12</v>
      </c>
      <c r="K288" s="35">
        <f>YEAR(SalesHistory[[#This Row],[日付]])</f>
        <v>2025</v>
      </c>
      <c r="L288" s="35">
        <f>MONTH(SalesHistory[[#This Row],[日付]])</f>
        <v>12</v>
      </c>
    </row>
    <row r="289" spans="1:12" ht="24.95" customHeight="1">
      <c r="A289" s="21">
        <v>46016</v>
      </c>
      <c r="B289" s="20" t="s">
        <v>128</v>
      </c>
      <c r="C289" s="20" t="s">
        <v>234</v>
      </c>
      <c r="D289" s="22">
        <v>32</v>
      </c>
      <c r="E289" s="22">
        <v>3200</v>
      </c>
      <c r="F289" s="22">
        <f t="shared" si="8"/>
        <v>102400</v>
      </c>
      <c r="G289" s="22">
        <v>67584</v>
      </c>
      <c r="H289" s="22">
        <f t="shared" si="9"/>
        <v>34816</v>
      </c>
      <c r="I289" s="20" t="s">
        <v>242</v>
      </c>
      <c r="J289" s="20" t="str">
        <f>TEXT(SalesHistory[[#This Row],[日付]],"yyyy-mm")</f>
        <v>2025-12</v>
      </c>
      <c r="K289" s="35">
        <f>YEAR(SalesHistory[[#This Row],[日付]])</f>
        <v>2025</v>
      </c>
      <c r="L289" s="35">
        <f>MONTH(SalesHistory[[#This Row],[日付]])</f>
        <v>12</v>
      </c>
    </row>
    <row r="290" spans="1:12" ht="24.95" customHeight="1">
      <c r="A290" s="21">
        <v>45996</v>
      </c>
      <c r="B290" s="20" t="s">
        <v>128</v>
      </c>
      <c r="C290" s="20" t="s">
        <v>235</v>
      </c>
      <c r="D290" s="22">
        <v>25</v>
      </c>
      <c r="E290" s="22">
        <v>4000</v>
      </c>
      <c r="F290" s="22">
        <f t="shared" si="8"/>
        <v>100000</v>
      </c>
      <c r="G290" s="22">
        <v>72000</v>
      </c>
      <c r="H290" s="22">
        <f t="shared" si="9"/>
        <v>28000</v>
      </c>
      <c r="I290" s="20" t="s">
        <v>242</v>
      </c>
      <c r="J290" s="20" t="str">
        <f>TEXT(SalesHistory[[#This Row],[日付]],"yyyy-mm")</f>
        <v>2025-12</v>
      </c>
      <c r="K290" s="35">
        <f>YEAR(SalesHistory[[#This Row],[日付]])</f>
        <v>2025</v>
      </c>
      <c r="L290" s="35">
        <f>MONTH(SalesHistory[[#This Row],[日付]])</f>
        <v>12</v>
      </c>
    </row>
    <row r="291" spans="1:12" ht="24.95" customHeight="1">
      <c r="A291" s="21">
        <v>46006</v>
      </c>
      <c r="B291" s="20" t="s">
        <v>128</v>
      </c>
      <c r="C291" s="20" t="s">
        <v>235</v>
      </c>
      <c r="D291" s="22">
        <v>30</v>
      </c>
      <c r="E291" s="22">
        <v>4000</v>
      </c>
      <c r="F291" s="22">
        <f t="shared" si="8"/>
        <v>120000</v>
      </c>
      <c r="G291" s="22">
        <v>86400</v>
      </c>
      <c r="H291" s="22">
        <f t="shared" si="9"/>
        <v>33600</v>
      </c>
      <c r="I291" s="20" t="s">
        <v>242</v>
      </c>
      <c r="J291" s="20" t="str">
        <f>TEXT(SalesHistory[[#This Row],[日付]],"yyyy-mm")</f>
        <v>2025-12</v>
      </c>
      <c r="K291" s="35">
        <f>YEAR(SalesHistory[[#This Row],[日付]])</f>
        <v>2025</v>
      </c>
      <c r="L291" s="35">
        <f>MONTH(SalesHistory[[#This Row],[日付]])</f>
        <v>12</v>
      </c>
    </row>
    <row r="292" spans="1:12" ht="24.95" customHeight="1">
      <c r="A292" s="21">
        <v>46016</v>
      </c>
      <c r="B292" s="20" t="s">
        <v>128</v>
      </c>
      <c r="C292" s="20" t="s">
        <v>235</v>
      </c>
      <c r="D292" s="22">
        <v>35</v>
      </c>
      <c r="E292" s="22">
        <v>4000</v>
      </c>
      <c r="F292" s="22">
        <f t="shared" si="8"/>
        <v>140000</v>
      </c>
      <c r="G292" s="22">
        <v>100800</v>
      </c>
      <c r="H292" s="22">
        <f t="shared" si="9"/>
        <v>39200</v>
      </c>
      <c r="I292" s="20" t="s">
        <v>242</v>
      </c>
      <c r="J292" s="20" t="str">
        <f>TEXT(SalesHistory[[#This Row],[日付]],"yyyy-mm")</f>
        <v>2025-12</v>
      </c>
      <c r="K292" s="35">
        <f>YEAR(SalesHistory[[#This Row],[日付]])</f>
        <v>2025</v>
      </c>
      <c r="L292" s="35">
        <f>MONTH(SalesHistory[[#This Row],[日付]])</f>
        <v>12</v>
      </c>
    </row>
    <row r="293" spans="1:12" ht="24.95" customHeight="1">
      <c r="A293" s="21">
        <v>46027</v>
      </c>
      <c r="B293" s="20" t="s">
        <v>2</v>
      </c>
      <c r="C293" s="20" t="s">
        <v>56</v>
      </c>
      <c r="D293" s="22">
        <v>12</v>
      </c>
      <c r="E293" s="22">
        <v>50000</v>
      </c>
      <c r="F293" s="22">
        <f t="shared" si="8"/>
        <v>600000</v>
      </c>
      <c r="G293" s="22">
        <v>324000</v>
      </c>
      <c r="H293" s="22">
        <f t="shared" si="9"/>
        <v>276000</v>
      </c>
      <c r="I293" s="20" t="s">
        <v>242</v>
      </c>
      <c r="J293" s="20" t="str">
        <f>TEXT(SalesHistory[[#This Row],[日付]],"yyyy-mm")</f>
        <v>2026-01</v>
      </c>
      <c r="K293" s="35">
        <f>YEAR(SalesHistory[[#This Row],[日付]])</f>
        <v>2026</v>
      </c>
      <c r="L293" s="35">
        <f>MONTH(SalesHistory[[#This Row],[日付]])</f>
        <v>1</v>
      </c>
    </row>
    <row r="294" spans="1:12" ht="24.95" customHeight="1">
      <c r="A294" s="21">
        <v>46037</v>
      </c>
      <c r="B294" s="20" t="s">
        <v>2</v>
      </c>
      <c r="C294" s="20" t="s">
        <v>56</v>
      </c>
      <c r="D294" s="22">
        <v>17</v>
      </c>
      <c r="E294" s="22">
        <v>50000</v>
      </c>
      <c r="F294" s="22">
        <f t="shared" si="8"/>
        <v>850000</v>
      </c>
      <c r="G294" s="22">
        <v>459000</v>
      </c>
      <c r="H294" s="22">
        <f t="shared" si="9"/>
        <v>391000</v>
      </c>
      <c r="I294" s="20" t="s">
        <v>242</v>
      </c>
      <c r="J294" s="20" t="str">
        <f>TEXT(SalesHistory[[#This Row],[日付]],"yyyy-mm")</f>
        <v>2026-01</v>
      </c>
      <c r="K294" s="35">
        <f>YEAR(SalesHistory[[#This Row],[日付]])</f>
        <v>2026</v>
      </c>
      <c r="L294" s="35">
        <f>MONTH(SalesHistory[[#This Row],[日付]])</f>
        <v>1</v>
      </c>
    </row>
    <row r="295" spans="1:12" ht="24.95" customHeight="1">
      <c r="A295" s="21">
        <v>46047</v>
      </c>
      <c r="B295" s="20" t="s">
        <v>2</v>
      </c>
      <c r="C295" s="20" t="s">
        <v>56</v>
      </c>
      <c r="D295" s="22">
        <v>5</v>
      </c>
      <c r="E295" s="22">
        <v>50000</v>
      </c>
      <c r="F295" s="22">
        <f t="shared" si="8"/>
        <v>250000</v>
      </c>
      <c r="G295" s="22">
        <v>135000</v>
      </c>
      <c r="H295" s="22">
        <f t="shared" si="9"/>
        <v>115000</v>
      </c>
      <c r="I295" s="20" t="s">
        <v>242</v>
      </c>
      <c r="J295" s="20" t="str">
        <f>TEXT(SalesHistory[[#This Row],[日付]],"yyyy-mm")</f>
        <v>2026-01</v>
      </c>
      <c r="K295" s="35">
        <f>YEAR(SalesHistory[[#This Row],[日付]])</f>
        <v>2026</v>
      </c>
      <c r="L295" s="35">
        <f>MONTH(SalesHistory[[#This Row],[日付]])</f>
        <v>1</v>
      </c>
    </row>
    <row r="296" spans="1:12" ht="24.95" customHeight="1">
      <c r="A296" s="21">
        <v>46027</v>
      </c>
      <c r="B296" s="20" t="s">
        <v>2</v>
      </c>
      <c r="C296" s="20" t="s">
        <v>60</v>
      </c>
      <c r="D296" s="22">
        <v>15</v>
      </c>
      <c r="E296" s="22">
        <v>15000</v>
      </c>
      <c r="F296" s="22">
        <f t="shared" si="8"/>
        <v>225000</v>
      </c>
      <c r="G296" s="22">
        <v>135000</v>
      </c>
      <c r="H296" s="22">
        <f t="shared" si="9"/>
        <v>90000</v>
      </c>
      <c r="I296" s="20" t="s">
        <v>242</v>
      </c>
      <c r="J296" s="20" t="str">
        <f>TEXT(SalesHistory[[#This Row],[日付]],"yyyy-mm")</f>
        <v>2026-01</v>
      </c>
      <c r="K296" s="35">
        <f>YEAR(SalesHistory[[#This Row],[日付]])</f>
        <v>2026</v>
      </c>
      <c r="L296" s="35">
        <f>MONTH(SalesHistory[[#This Row],[日付]])</f>
        <v>1</v>
      </c>
    </row>
    <row r="297" spans="1:12" ht="24.95" customHeight="1">
      <c r="A297" s="21">
        <v>46037</v>
      </c>
      <c r="B297" s="20" t="s">
        <v>2</v>
      </c>
      <c r="C297" s="20" t="s">
        <v>60</v>
      </c>
      <c r="D297" s="22">
        <v>3</v>
      </c>
      <c r="E297" s="22">
        <v>15000</v>
      </c>
      <c r="F297" s="22">
        <f t="shared" si="8"/>
        <v>45000</v>
      </c>
      <c r="G297" s="22">
        <v>27000</v>
      </c>
      <c r="H297" s="22">
        <f t="shared" si="9"/>
        <v>18000</v>
      </c>
      <c r="I297" s="20" t="s">
        <v>242</v>
      </c>
      <c r="J297" s="20" t="str">
        <f>TEXT(SalesHistory[[#This Row],[日付]],"yyyy-mm")</f>
        <v>2026-01</v>
      </c>
      <c r="K297" s="35">
        <f>YEAR(SalesHistory[[#This Row],[日付]])</f>
        <v>2026</v>
      </c>
      <c r="L297" s="35">
        <f>MONTH(SalesHistory[[#This Row],[日付]])</f>
        <v>1</v>
      </c>
    </row>
    <row r="298" spans="1:12" ht="24.95" customHeight="1">
      <c r="A298" s="21">
        <v>46047</v>
      </c>
      <c r="B298" s="20" t="s">
        <v>2</v>
      </c>
      <c r="C298" s="20" t="s">
        <v>60</v>
      </c>
      <c r="D298" s="22">
        <v>8</v>
      </c>
      <c r="E298" s="22">
        <v>15000</v>
      </c>
      <c r="F298" s="22">
        <f t="shared" si="8"/>
        <v>120000</v>
      </c>
      <c r="G298" s="22">
        <v>72000</v>
      </c>
      <c r="H298" s="22">
        <f t="shared" si="9"/>
        <v>48000</v>
      </c>
      <c r="I298" s="20" t="s">
        <v>242</v>
      </c>
      <c r="J298" s="20" t="str">
        <f>TEXT(SalesHistory[[#This Row],[日付]],"yyyy-mm")</f>
        <v>2026-01</v>
      </c>
      <c r="K298" s="35">
        <f>YEAR(SalesHistory[[#This Row],[日付]])</f>
        <v>2026</v>
      </c>
      <c r="L298" s="35">
        <f>MONTH(SalesHistory[[#This Row],[日付]])</f>
        <v>1</v>
      </c>
    </row>
    <row r="299" spans="1:12" ht="24.95" customHeight="1">
      <c r="A299" s="21">
        <v>46027</v>
      </c>
      <c r="B299" s="20" t="s">
        <v>2</v>
      </c>
      <c r="C299" s="20" t="s">
        <v>231</v>
      </c>
      <c r="D299" s="22">
        <v>18</v>
      </c>
      <c r="E299" s="22">
        <v>35000</v>
      </c>
      <c r="F299" s="22">
        <f t="shared" si="8"/>
        <v>630000</v>
      </c>
      <c r="G299" s="22">
        <v>415800</v>
      </c>
      <c r="H299" s="22">
        <f t="shared" si="9"/>
        <v>214200</v>
      </c>
      <c r="I299" s="20" t="s">
        <v>242</v>
      </c>
      <c r="J299" s="20" t="str">
        <f>TEXT(SalesHistory[[#This Row],[日付]],"yyyy-mm")</f>
        <v>2026-01</v>
      </c>
      <c r="K299" s="35">
        <f>YEAR(SalesHistory[[#This Row],[日付]])</f>
        <v>2026</v>
      </c>
      <c r="L299" s="35">
        <f>MONTH(SalesHistory[[#This Row],[日付]])</f>
        <v>1</v>
      </c>
    </row>
    <row r="300" spans="1:12" ht="24.95" customHeight="1">
      <c r="A300" s="21">
        <v>46037</v>
      </c>
      <c r="B300" s="20" t="s">
        <v>2</v>
      </c>
      <c r="C300" s="20" t="s">
        <v>231</v>
      </c>
      <c r="D300" s="22">
        <v>6</v>
      </c>
      <c r="E300" s="22">
        <v>35000</v>
      </c>
      <c r="F300" s="22">
        <f t="shared" si="8"/>
        <v>210000</v>
      </c>
      <c r="G300" s="22">
        <v>138600</v>
      </c>
      <c r="H300" s="22">
        <f t="shared" si="9"/>
        <v>71400</v>
      </c>
      <c r="I300" s="20" t="s">
        <v>242</v>
      </c>
      <c r="J300" s="20" t="str">
        <f>TEXT(SalesHistory[[#This Row],[日付]],"yyyy-mm")</f>
        <v>2026-01</v>
      </c>
      <c r="K300" s="35">
        <f>YEAR(SalesHistory[[#This Row],[日付]])</f>
        <v>2026</v>
      </c>
      <c r="L300" s="35">
        <f>MONTH(SalesHistory[[#This Row],[日付]])</f>
        <v>1</v>
      </c>
    </row>
    <row r="301" spans="1:12" ht="24.95" customHeight="1">
      <c r="A301" s="21">
        <v>46047</v>
      </c>
      <c r="B301" s="20" t="s">
        <v>2</v>
      </c>
      <c r="C301" s="20" t="s">
        <v>231</v>
      </c>
      <c r="D301" s="22">
        <v>11</v>
      </c>
      <c r="E301" s="22">
        <v>35000</v>
      </c>
      <c r="F301" s="22">
        <f t="shared" si="8"/>
        <v>385000</v>
      </c>
      <c r="G301" s="22">
        <v>254100</v>
      </c>
      <c r="H301" s="22">
        <f t="shared" si="9"/>
        <v>130900</v>
      </c>
      <c r="I301" s="20" t="s">
        <v>242</v>
      </c>
      <c r="J301" s="20" t="str">
        <f>TEXT(SalesHistory[[#This Row],[日付]],"yyyy-mm")</f>
        <v>2026-01</v>
      </c>
      <c r="K301" s="35">
        <f>YEAR(SalesHistory[[#This Row],[日付]])</f>
        <v>2026</v>
      </c>
      <c r="L301" s="35">
        <f>MONTH(SalesHistory[[#This Row],[日付]])</f>
        <v>1</v>
      </c>
    </row>
    <row r="302" spans="1:12" ht="24.95" customHeight="1">
      <c r="A302" s="21">
        <v>46027</v>
      </c>
      <c r="B302" s="20" t="s">
        <v>2</v>
      </c>
      <c r="C302" s="20" t="s">
        <v>232</v>
      </c>
      <c r="D302" s="22">
        <v>4</v>
      </c>
      <c r="E302" s="22">
        <v>2500</v>
      </c>
      <c r="F302" s="22">
        <f t="shared" si="8"/>
        <v>10000</v>
      </c>
      <c r="G302" s="22">
        <v>7200</v>
      </c>
      <c r="H302" s="22">
        <f t="shared" si="9"/>
        <v>2800</v>
      </c>
      <c r="I302" s="20" t="s">
        <v>242</v>
      </c>
      <c r="J302" s="20" t="str">
        <f>TEXT(SalesHistory[[#This Row],[日付]],"yyyy-mm")</f>
        <v>2026-01</v>
      </c>
      <c r="K302" s="35">
        <f>YEAR(SalesHistory[[#This Row],[日付]])</f>
        <v>2026</v>
      </c>
      <c r="L302" s="35">
        <f>MONTH(SalesHistory[[#This Row],[日付]])</f>
        <v>1</v>
      </c>
    </row>
    <row r="303" spans="1:12" ht="24.95" customHeight="1">
      <c r="A303" s="21">
        <v>46037</v>
      </c>
      <c r="B303" s="20" t="s">
        <v>2</v>
      </c>
      <c r="C303" s="20" t="s">
        <v>232</v>
      </c>
      <c r="D303" s="22">
        <v>9</v>
      </c>
      <c r="E303" s="22">
        <v>2500</v>
      </c>
      <c r="F303" s="22">
        <f t="shared" si="8"/>
        <v>22500</v>
      </c>
      <c r="G303" s="22">
        <v>16200</v>
      </c>
      <c r="H303" s="22">
        <f t="shared" si="9"/>
        <v>6300</v>
      </c>
      <c r="I303" s="20" t="s">
        <v>242</v>
      </c>
      <c r="J303" s="20" t="str">
        <f>TEXT(SalesHistory[[#This Row],[日付]],"yyyy-mm")</f>
        <v>2026-01</v>
      </c>
      <c r="K303" s="35">
        <f>YEAR(SalesHistory[[#This Row],[日付]])</f>
        <v>2026</v>
      </c>
      <c r="L303" s="35">
        <f>MONTH(SalesHistory[[#This Row],[日付]])</f>
        <v>1</v>
      </c>
    </row>
    <row r="304" spans="1:12" ht="24.95" customHeight="1">
      <c r="A304" s="21">
        <v>46047</v>
      </c>
      <c r="B304" s="20" t="s">
        <v>2</v>
      </c>
      <c r="C304" s="20" t="s">
        <v>232</v>
      </c>
      <c r="D304" s="22">
        <v>14</v>
      </c>
      <c r="E304" s="22">
        <v>2500</v>
      </c>
      <c r="F304" s="22">
        <f t="shared" si="8"/>
        <v>35000</v>
      </c>
      <c r="G304" s="22">
        <v>25200</v>
      </c>
      <c r="H304" s="22">
        <f t="shared" si="9"/>
        <v>9800</v>
      </c>
      <c r="I304" s="20" t="s">
        <v>242</v>
      </c>
      <c r="J304" s="20" t="str">
        <f>TEXT(SalesHistory[[#This Row],[日付]],"yyyy-mm")</f>
        <v>2026-01</v>
      </c>
      <c r="K304" s="35">
        <f>YEAR(SalesHistory[[#This Row],[日付]])</f>
        <v>2026</v>
      </c>
      <c r="L304" s="35">
        <f>MONTH(SalesHistory[[#This Row],[日付]])</f>
        <v>1</v>
      </c>
    </row>
    <row r="305" spans="1:12" ht="24.95" customHeight="1">
      <c r="A305" s="21">
        <v>46027</v>
      </c>
      <c r="B305" s="20" t="s">
        <v>128</v>
      </c>
      <c r="C305" s="20" t="s">
        <v>148</v>
      </c>
      <c r="D305" s="22">
        <v>25</v>
      </c>
      <c r="E305" s="22">
        <v>2000</v>
      </c>
      <c r="F305" s="22">
        <f t="shared" si="8"/>
        <v>50000</v>
      </c>
      <c r="G305" s="22">
        <v>24000</v>
      </c>
      <c r="H305" s="22">
        <f t="shared" si="9"/>
        <v>26000</v>
      </c>
      <c r="I305" s="20" t="s">
        <v>242</v>
      </c>
      <c r="J305" s="20" t="str">
        <f>TEXT(SalesHistory[[#This Row],[日付]],"yyyy-mm")</f>
        <v>2026-01</v>
      </c>
      <c r="K305" s="35">
        <f>YEAR(SalesHistory[[#This Row],[日付]])</f>
        <v>2026</v>
      </c>
      <c r="L305" s="35">
        <f>MONTH(SalesHistory[[#This Row],[日付]])</f>
        <v>1</v>
      </c>
    </row>
    <row r="306" spans="1:12" ht="24.95" customHeight="1">
      <c r="A306" s="21">
        <v>46037</v>
      </c>
      <c r="B306" s="20" t="s">
        <v>128</v>
      </c>
      <c r="C306" s="20" t="s">
        <v>148</v>
      </c>
      <c r="D306" s="22">
        <v>30</v>
      </c>
      <c r="E306" s="22">
        <v>2000</v>
      </c>
      <c r="F306" s="22">
        <f t="shared" si="8"/>
        <v>60000</v>
      </c>
      <c r="G306" s="22">
        <v>28800</v>
      </c>
      <c r="H306" s="22">
        <f t="shared" si="9"/>
        <v>31200</v>
      </c>
      <c r="I306" s="20" t="s">
        <v>242</v>
      </c>
      <c r="J306" s="20" t="str">
        <f>TEXT(SalesHistory[[#This Row],[日付]],"yyyy-mm")</f>
        <v>2026-01</v>
      </c>
      <c r="K306" s="35">
        <f>YEAR(SalesHistory[[#This Row],[日付]])</f>
        <v>2026</v>
      </c>
      <c r="L306" s="35">
        <f>MONTH(SalesHistory[[#This Row],[日付]])</f>
        <v>1</v>
      </c>
    </row>
    <row r="307" spans="1:12" ht="24.95" customHeight="1">
      <c r="A307" s="21">
        <v>46047</v>
      </c>
      <c r="B307" s="20" t="s">
        <v>128</v>
      </c>
      <c r="C307" s="20" t="s">
        <v>148</v>
      </c>
      <c r="D307" s="22">
        <v>35</v>
      </c>
      <c r="E307" s="22">
        <v>2000</v>
      </c>
      <c r="F307" s="22">
        <f t="shared" si="8"/>
        <v>70000</v>
      </c>
      <c r="G307" s="22">
        <v>33600</v>
      </c>
      <c r="H307" s="22">
        <f t="shared" si="9"/>
        <v>36400</v>
      </c>
      <c r="I307" s="20" t="s">
        <v>242</v>
      </c>
      <c r="J307" s="20" t="str">
        <f>TEXT(SalesHistory[[#This Row],[日付]],"yyyy-mm")</f>
        <v>2026-01</v>
      </c>
      <c r="K307" s="35">
        <f>YEAR(SalesHistory[[#This Row],[日付]])</f>
        <v>2026</v>
      </c>
      <c r="L307" s="35">
        <f>MONTH(SalesHistory[[#This Row],[日付]])</f>
        <v>1</v>
      </c>
    </row>
    <row r="308" spans="1:12" ht="24.95" customHeight="1">
      <c r="A308" s="21">
        <v>46027</v>
      </c>
      <c r="B308" s="20" t="s">
        <v>128</v>
      </c>
      <c r="C308" s="20" t="s">
        <v>233</v>
      </c>
      <c r="D308" s="22">
        <v>28</v>
      </c>
      <c r="E308" s="22">
        <v>1800</v>
      </c>
      <c r="F308" s="22">
        <f t="shared" si="8"/>
        <v>50400</v>
      </c>
      <c r="G308" s="22">
        <v>27216</v>
      </c>
      <c r="H308" s="22">
        <f t="shared" si="9"/>
        <v>23184</v>
      </c>
      <c r="I308" s="20" t="s">
        <v>242</v>
      </c>
      <c r="J308" s="20" t="str">
        <f>TEXT(SalesHistory[[#This Row],[日付]],"yyyy-mm")</f>
        <v>2026-01</v>
      </c>
      <c r="K308" s="35">
        <f>YEAR(SalesHistory[[#This Row],[日付]])</f>
        <v>2026</v>
      </c>
      <c r="L308" s="35">
        <f>MONTH(SalesHistory[[#This Row],[日付]])</f>
        <v>1</v>
      </c>
    </row>
    <row r="309" spans="1:12" ht="24.95" customHeight="1">
      <c r="A309" s="21">
        <v>46037</v>
      </c>
      <c r="B309" s="20" t="s">
        <v>128</v>
      </c>
      <c r="C309" s="20" t="s">
        <v>233</v>
      </c>
      <c r="D309" s="22">
        <v>33</v>
      </c>
      <c r="E309" s="22">
        <v>1800</v>
      </c>
      <c r="F309" s="22">
        <f t="shared" si="8"/>
        <v>59400</v>
      </c>
      <c r="G309" s="22">
        <v>32076</v>
      </c>
      <c r="H309" s="22">
        <f t="shared" si="9"/>
        <v>27324</v>
      </c>
      <c r="I309" s="20" t="s">
        <v>242</v>
      </c>
      <c r="J309" s="20" t="str">
        <f>TEXT(SalesHistory[[#This Row],[日付]],"yyyy-mm")</f>
        <v>2026-01</v>
      </c>
      <c r="K309" s="35">
        <f>YEAR(SalesHistory[[#This Row],[日付]])</f>
        <v>2026</v>
      </c>
      <c r="L309" s="35">
        <f>MONTH(SalesHistory[[#This Row],[日付]])</f>
        <v>1</v>
      </c>
    </row>
    <row r="310" spans="1:12" ht="24.95" customHeight="1">
      <c r="A310" s="21">
        <v>46047</v>
      </c>
      <c r="B310" s="20" t="s">
        <v>128</v>
      </c>
      <c r="C310" s="20" t="s">
        <v>233</v>
      </c>
      <c r="D310" s="22">
        <v>21</v>
      </c>
      <c r="E310" s="22">
        <v>1800</v>
      </c>
      <c r="F310" s="22">
        <f t="shared" si="8"/>
        <v>37800</v>
      </c>
      <c r="G310" s="22">
        <v>20412</v>
      </c>
      <c r="H310" s="22">
        <f t="shared" si="9"/>
        <v>17388</v>
      </c>
      <c r="I310" s="20" t="s">
        <v>242</v>
      </c>
      <c r="J310" s="20" t="str">
        <f>TEXT(SalesHistory[[#This Row],[日付]],"yyyy-mm")</f>
        <v>2026-01</v>
      </c>
      <c r="K310" s="35">
        <f>YEAR(SalesHistory[[#This Row],[日付]])</f>
        <v>2026</v>
      </c>
      <c r="L310" s="35">
        <f>MONTH(SalesHistory[[#This Row],[日付]])</f>
        <v>1</v>
      </c>
    </row>
    <row r="311" spans="1:12" ht="24.95" customHeight="1">
      <c r="A311" s="21">
        <v>46027</v>
      </c>
      <c r="B311" s="20" t="s">
        <v>128</v>
      </c>
      <c r="C311" s="20" t="s">
        <v>234</v>
      </c>
      <c r="D311" s="22">
        <v>31</v>
      </c>
      <c r="E311" s="22">
        <v>3200</v>
      </c>
      <c r="F311" s="22">
        <f t="shared" si="8"/>
        <v>99200</v>
      </c>
      <c r="G311" s="22">
        <v>59520</v>
      </c>
      <c r="H311" s="22">
        <f t="shared" si="9"/>
        <v>39680</v>
      </c>
      <c r="I311" s="20" t="s">
        <v>242</v>
      </c>
      <c r="J311" s="20" t="str">
        <f>TEXT(SalesHistory[[#This Row],[日付]],"yyyy-mm")</f>
        <v>2026-01</v>
      </c>
      <c r="K311" s="35">
        <f>YEAR(SalesHistory[[#This Row],[日付]])</f>
        <v>2026</v>
      </c>
      <c r="L311" s="35">
        <f>MONTH(SalesHistory[[#This Row],[日付]])</f>
        <v>1</v>
      </c>
    </row>
    <row r="312" spans="1:12" ht="24.95" customHeight="1">
      <c r="A312" s="21">
        <v>46037</v>
      </c>
      <c r="B312" s="20" t="s">
        <v>128</v>
      </c>
      <c r="C312" s="20" t="s">
        <v>234</v>
      </c>
      <c r="D312" s="22">
        <v>36</v>
      </c>
      <c r="E312" s="22">
        <v>3200</v>
      </c>
      <c r="F312" s="22">
        <f t="shared" si="8"/>
        <v>115200</v>
      </c>
      <c r="G312" s="22">
        <v>69120</v>
      </c>
      <c r="H312" s="22">
        <f t="shared" si="9"/>
        <v>46080</v>
      </c>
      <c r="I312" s="20" t="s">
        <v>242</v>
      </c>
      <c r="J312" s="20" t="str">
        <f>TEXT(SalesHistory[[#This Row],[日付]],"yyyy-mm")</f>
        <v>2026-01</v>
      </c>
      <c r="K312" s="35">
        <f>YEAR(SalesHistory[[#This Row],[日付]])</f>
        <v>2026</v>
      </c>
      <c r="L312" s="35">
        <f>MONTH(SalesHistory[[#This Row],[日付]])</f>
        <v>1</v>
      </c>
    </row>
    <row r="313" spans="1:12" ht="24.95" customHeight="1">
      <c r="A313" s="21">
        <v>46047</v>
      </c>
      <c r="B313" s="20" t="s">
        <v>128</v>
      </c>
      <c r="C313" s="20" t="s">
        <v>234</v>
      </c>
      <c r="D313" s="22">
        <v>24</v>
      </c>
      <c r="E313" s="22">
        <v>3200</v>
      </c>
      <c r="F313" s="22">
        <f t="shared" si="8"/>
        <v>76800</v>
      </c>
      <c r="G313" s="22">
        <v>46080</v>
      </c>
      <c r="H313" s="22">
        <f t="shared" si="9"/>
        <v>30720</v>
      </c>
      <c r="I313" s="20" t="s">
        <v>242</v>
      </c>
      <c r="J313" s="20" t="str">
        <f>TEXT(SalesHistory[[#This Row],[日付]],"yyyy-mm")</f>
        <v>2026-01</v>
      </c>
      <c r="K313" s="35">
        <f>YEAR(SalesHistory[[#This Row],[日付]])</f>
        <v>2026</v>
      </c>
      <c r="L313" s="35">
        <f>MONTH(SalesHistory[[#This Row],[日付]])</f>
        <v>1</v>
      </c>
    </row>
    <row r="314" spans="1:12" ht="24.95" customHeight="1">
      <c r="A314" s="21">
        <v>46027</v>
      </c>
      <c r="B314" s="20" t="s">
        <v>128</v>
      </c>
      <c r="C314" s="20" t="s">
        <v>235</v>
      </c>
      <c r="D314" s="22">
        <v>34</v>
      </c>
      <c r="E314" s="22">
        <v>4000</v>
      </c>
      <c r="F314" s="22">
        <f t="shared" si="8"/>
        <v>136000</v>
      </c>
      <c r="G314" s="22">
        <v>89760</v>
      </c>
      <c r="H314" s="22">
        <f t="shared" si="9"/>
        <v>46240</v>
      </c>
      <c r="I314" s="20" t="s">
        <v>242</v>
      </c>
      <c r="J314" s="20" t="str">
        <f>TEXT(SalesHistory[[#This Row],[日付]],"yyyy-mm")</f>
        <v>2026-01</v>
      </c>
      <c r="K314" s="35">
        <f>YEAR(SalesHistory[[#This Row],[日付]])</f>
        <v>2026</v>
      </c>
      <c r="L314" s="35">
        <f>MONTH(SalesHistory[[#This Row],[日付]])</f>
        <v>1</v>
      </c>
    </row>
    <row r="315" spans="1:12" ht="24.95" customHeight="1">
      <c r="A315" s="21">
        <v>46037</v>
      </c>
      <c r="B315" s="20" t="s">
        <v>128</v>
      </c>
      <c r="C315" s="20" t="s">
        <v>235</v>
      </c>
      <c r="D315" s="22">
        <v>22</v>
      </c>
      <c r="E315" s="22">
        <v>4000</v>
      </c>
      <c r="F315" s="22">
        <f t="shared" si="8"/>
        <v>88000</v>
      </c>
      <c r="G315" s="22">
        <v>58080</v>
      </c>
      <c r="H315" s="22">
        <f t="shared" si="9"/>
        <v>29920</v>
      </c>
      <c r="I315" s="20" t="s">
        <v>242</v>
      </c>
      <c r="J315" s="20" t="str">
        <f>TEXT(SalesHistory[[#This Row],[日付]],"yyyy-mm")</f>
        <v>2026-01</v>
      </c>
      <c r="K315" s="35">
        <f>YEAR(SalesHistory[[#This Row],[日付]])</f>
        <v>2026</v>
      </c>
      <c r="L315" s="35">
        <f>MONTH(SalesHistory[[#This Row],[日付]])</f>
        <v>1</v>
      </c>
    </row>
    <row r="316" spans="1:12" ht="24.95" customHeight="1">
      <c r="A316" s="21">
        <v>46047</v>
      </c>
      <c r="B316" s="20" t="s">
        <v>128</v>
      </c>
      <c r="C316" s="20" t="s">
        <v>235</v>
      </c>
      <c r="D316" s="22">
        <v>27</v>
      </c>
      <c r="E316" s="22">
        <v>4000</v>
      </c>
      <c r="F316" s="22">
        <f t="shared" si="8"/>
        <v>108000</v>
      </c>
      <c r="G316" s="22">
        <v>71280</v>
      </c>
      <c r="H316" s="22">
        <f t="shared" si="9"/>
        <v>36720</v>
      </c>
      <c r="I316" s="20" t="s">
        <v>242</v>
      </c>
      <c r="J316" s="20" t="str">
        <f>TEXT(SalesHistory[[#This Row],[日付]],"yyyy-mm")</f>
        <v>2026-01</v>
      </c>
      <c r="K316" s="35">
        <f>YEAR(SalesHistory[[#This Row],[日付]])</f>
        <v>2026</v>
      </c>
      <c r="L316" s="35">
        <f>MONTH(SalesHistory[[#This Row],[日付]])</f>
        <v>1</v>
      </c>
    </row>
    <row r="317" spans="1:12" ht="24.95" customHeight="1">
      <c r="A317" s="21">
        <v>46058</v>
      </c>
      <c r="B317" s="20" t="s">
        <v>2</v>
      </c>
      <c r="C317" s="20" t="s">
        <v>56</v>
      </c>
      <c r="D317" s="22">
        <v>2</v>
      </c>
      <c r="E317" s="22">
        <v>50000</v>
      </c>
      <c r="F317" s="22">
        <f t="shared" si="8"/>
        <v>100000</v>
      </c>
      <c r="G317" s="22">
        <v>60000</v>
      </c>
      <c r="H317" s="22">
        <f t="shared" si="9"/>
        <v>40000</v>
      </c>
      <c r="I317" s="20" t="s">
        <v>242</v>
      </c>
      <c r="J317" s="20" t="str">
        <f>TEXT(SalesHistory[[#This Row],[日付]],"yyyy-mm")</f>
        <v>2026-02</v>
      </c>
      <c r="K317" s="35">
        <f>YEAR(SalesHistory[[#This Row],[日付]])</f>
        <v>2026</v>
      </c>
      <c r="L317" s="35">
        <f>MONTH(SalesHistory[[#This Row],[日付]])</f>
        <v>2</v>
      </c>
    </row>
    <row r="318" spans="1:12" ht="24.95" customHeight="1">
      <c r="A318" s="21">
        <v>46068</v>
      </c>
      <c r="B318" s="20" t="s">
        <v>2</v>
      </c>
      <c r="C318" s="20" t="s">
        <v>56</v>
      </c>
      <c r="D318" s="22">
        <v>7</v>
      </c>
      <c r="E318" s="22">
        <v>50000</v>
      </c>
      <c r="F318" s="22">
        <f t="shared" si="8"/>
        <v>350000</v>
      </c>
      <c r="G318" s="22">
        <v>210000</v>
      </c>
      <c r="H318" s="22">
        <f t="shared" si="9"/>
        <v>140000</v>
      </c>
      <c r="I318" s="20" t="s">
        <v>242</v>
      </c>
      <c r="J318" s="20" t="str">
        <f>TEXT(SalesHistory[[#This Row],[日付]],"yyyy-mm")</f>
        <v>2026-02</v>
      </c>
      <c r="K318" s="35">
        <f>YEAR(SalesHistory[[#This Row],[日付]])</f>
        <v>2026</v>
      </c>
      <c r="L318" s="35">
        <f>MONTH(SalesHistory[[#This Row],[日付]])</f>
        <v>2</v>
      </c>
    </row>
    <row r="319" spans="1:12" ht="24.95" customHeight="1">
      <c r="A319" s="21">
        <v>46078</v>
      </c>
      <c r="B319" s="20" t="s">
        <v>2</v>
      </c>
      <c r="C319" s="20" t="s">
        <v>56</v>
      </c>
      <c r="D319" s="22">
        <v>12</v>
      </c>
      <c r="E319" s="22">
        <v>50000</v>
      </c>
      <c r="F319" s="22">
        <f t="shared" si="8"/>
        <v>600000</v>
      </c>
      <c r="G319" s="22">
        <v>360000</v>
      </c>
      <c r="H319" s="22">
        <f t="shared" si="9"/>
        <v>240000</v>
      </c>
      <c r="I319" s="20" t="s">
        <v>242</v>
      </c>
      <c r="J319" s="20" t="str">
        <f>TEXT(SalesHistory[[#This Row],[日付]],"yyyy-mm")</f>
        <v>2026-02</v>
      </c>
      <c r="K319" s="35">
        <f>YEAR(SalesHistory[[#This Row],[日付]])</f>
        <v>2026</v>
      </c>
      <c r="L319" s="35">
        <f>MONTH(SalesHistory[[#This Row],[日付]])</f>
        <v>2</v>
      </c>
    </row>
    <row r="320" spans="1:12" ht="24.95" customHeight="1">
      <c r="A320" s="21">
        <v>46058</v>
      </c>
      <c r="B320" s="20" t="s">
        <v>2</v>
      </c>
      <c r="C320" s="20" t="s">
        <v>60</v>
      </c>
      <c r="D320" s="22">
        <v>5</v>
      </c>
      <c r="E320" s="22">
        <v>15000</v>
      </c>
      <c r="F320" s="22">
        <f t="shared" si="8"/>
        <v>75000</v>
      </c>
      <c r="G320" s="22">
        <v>49500</v>
      </c>
      <c r="H320" s="22">
        <f t="shared" si="9"/>
        <v>25500</v>
      </c>
      <c r="I320" s="20" t="s">
        <v>242</v>
      </c>
      <c r="J320" s="20" t="str">
        <f>TEXT(SalesHistory[[#This Row],[日付]],"yyyy-mm")</f>
        <v>2026-02</v>
      </c>
      <c r="K320" s="35">
        <f>YEAR(SalesHistory[[#This Row],[日付]])</f>
        <v>2026</v>
      </c>
      <c r="L320" s="35">
        <f>MONTH(SalesHistory[[#This Row],[日付]])</f>
        <v>2</v>
      </c>
    </row>
    <row r="321" spans="1:12" ht="24.95" customHeight="1">
      <c r="A321" s="21">
        <v>46068</v>
      </c>
      <c r="B321" s="20" t="s">
        <v>2</v>
      </c>
      <c r="C321" s="20" t="s">
        <v>60</v>
      </c>
      <c r="D321" s="22">
        <v>10</v>
      </c>
      <c r="E321" s="22">
        <v>15000</v>
      </c>
      <c r="F321" s="22">
        <f t="shared" si="8"/>
        <v>150000</v>
      </c>
      <c r="G321" s="22">
        <v>99000</v>
      </c>
      <c r="H321" s="22">
        <f t="shared" si="9"/>
        <v>51000</v>
      </c>
      <c r="I321" s="20" t="s">
        <v>242</v>
      </c>
      <c r="J321" s="20" t="str">
        <f>TEXT(SalesHistory[[#This Row],[日付]],"yyyy-mm")</f>
        <v>2026-02</v>
      </c>
      <c r="K321" s="35">
        <f>YEAR(SalesHistory[[#This Row],[日付]])</f>
        <v>2026</v>
      </c>
      <c r="L321" s="35">
        <f>MONTH(SalesHistory[[#This Row],[日付]])</f>
        <v>2</v>
      </c>
    </row>
    <row r="322" spans="1:12" ht="24.95" customHeight="1">
      <c r="A322" s="21">
        <v>46078</v>
      </c>
      <c r="B322" s="20" t="s">
        <v>2</v>
      </c>
      <c r="C322" s="20" t="s">
        <v>60</v>
      </c>
      <c r="D322" s="22">
        <v>15</v>
      </c>
      <c r="E322" s="22">
        <v>15000</v>
      </c>
      <c r="F322" s="22">
        <f t="shared" si="8"/>
        <v>225000</v>
      </c>
      <c r="G322" s="22">
        <v>148500</v>
      </c>
      <c r="H322" s="22">
        <f t="shared" si="9"/>
        <v>76500</v>
      </c>
      <c r="I322" s="20" t="s">
        <v>242</v>
      </c>
      <c r="J322" s="20" t="str">
        <f>TEXT(SalesHistory[[#This Row],[日付]],"yyyy-mm")</f>
        <v>2026-02</v>
      </c>
      <c r="K322" s="35">
        <f>YEAR(SalesHistory[[#This Row],[日付]])</f>
        <v>2026</v>
      </c>
      <c r="L322" s="35">
        <f>MONTH(SalesHistory[[#This Row],[日付]])</f>
        <v>2</v>
      </c>
    </row>
    <row r="323" spans="1:12" ht="24.95" customHeight="1">
      <c r="A323" s="21">
        <v>46058</v>
      </c>
      <c r="B323" s="20" t="s">
        <v>2</v>
      </c>
      <c r="C323" s="20" t="s">
        <v>231</v>
      </c>
      <c r="D323" s="22">
        <v>8</v>
      </c>
      <c r="E323" s="22">
        <v>35000</v>
      </c>
      <c r="F323" s="22">
        <f t="shared" si="8"/>
        <v>280000</v>
      </c>
      <c r="G323" s="22">
        <v>201600</v>
      </c>
      <c r="H323" s="22">
        <f t="shared" si="9"/>
        <v>78400</v>
      </c>
      <c r="I323" s="20" t="s">
        <v>242</v>
      </c>
      <c r="J323" s="20" t="str">
        <f>TEXT(SalesHistory[[#This Row],[日付]],"yyyy-mm")</f>
        <v>2026-02</v>
      </c>
      <c r="K323" s="35">
        <f>YEAR(SalesHistory[[#This Row],[日付]])</f>
        <v>2026</v>
      </c>
      <c r="L323" s="35">
        <f>MONTH(SalesHistory[[#This Row],[日付]])</f>
        <v>2</v>
      </c>
    </row>
    <row r="324" spans="1:12" ht="24.95" customHeight="1">
      <c r="A324" s="21">
        <v>46068</v>
      </c>
      <c r="B324" s="20" t="s">
        <v>2</v>
      </c>
      <c r="C324" s="20" t="s">
        <v>231</v>
      </c>
      <c r="D324" s="22">
        <v>13</v>
      </c>
      <c r="E324" s="22">
        <v>35000</v>
      </c>
      <c r="F324" s="22">
        <f t="shared" si="8"/>
        <v>455000</v>
      </c>
      <c r="G324" s="22">
        <v>327600</v>
      </c>
      <c r="H324" s="22">
        <f t="shared" si="9"/>
        <v>127400</v>
      </c>
      <c r="I324" s="20" t="s">
        <v>242</v>
      </c>
      <c r="J324" s="20" t="str">
        <f>TEXT(SalesHistory[[#This Row],[日付]],"yyyy-mm")</f>
        <v>2026-02</v>
      </c>
      <c r="K324" s="35">
        <f>YEAR(SalesHistory[[#This Row],[日付]])</f>
        <v>2026</v>
      </c>
      <c r="L324" s="35">
        <f>MONTH(SalesHistory[[#This Row],[日付]])</f>
        <v>2</v>
      </c>
    </row>
    <row r="325" spans="1:12" ht="24.95" customHeight="1">
      <c r="A325" s="21">
        <v>46078</v>
      </c>
      <c r="B325" s="20" t="s">
        <v>2</v>
      </c>
      <c r="C325" s="20" t="s">
        <v>231</v>
      </c>
      <c r="D325" s="22">
        <v>18</v>
      </c>
      <c r="E325" s="22">
        <v>35000</v>
      </c>
      <c r="F325" s="22">
        <f t="shared" ref="F325:F388" si="10">ROUND(D325*E325,0)</f>
        <v>630000</v>
      </c>
      <c r="G325" s="22">
        <v>453600</v>
      </c>
      <c r="H325" s="22">
        <f t="shared" ref="H325:H388" si="11">F325-G325</f>
        <v>176400</v>
      </c>
      <c r="I325" s="20" t="s">
        <v>242</v>
      </c>
      <c r="J325" s="20" t="str">
        <f>TEXT(SalesHistory[[#This Row],[日付]],"yyyy-mm")</f>
        <v>2026-02</v>
      </c>
      <c r="K325" s="35">
        <f>YEAR(SalesHistory[[#This Row],[日付]])</f>
        <v>2026</v>
      </c>
      <c r="L325" s="35">
        <f>MONTH(SalesHistory[[#This Row],[日付]])</f>
        <v>2</v>
      </c>
    </row>
    <row r="326" spans="1:12" ht="24.95" customHeight="1">
      <c r="A326" s="21">
        <v>46058</v>
      </c>
      <c r="B326" s="20" t="s">
        <v>2</v>
      </c>
      <c r="C326" s="20" t="s">
        <v>232</v>
      </c>
      <c r="D326" s="22">
        <v>11</v>
      </c>
      <c r="E326" s="22">
        <v>2500</v>
      </c>
      <c r="F326" s="22">
        <f t="shared" si="10"/>
        <v>27500</v>
      </c>
      <c r="G326" s="22">
        <v>13200</v>
      </c>
      <c r="H326" s="22">
        <f t="shared" si="11"/>
        <v>14300</v>
      </c>
      <c r="I326" s="20" t="s">
        <v>242</v>
      </c>
      <c r="J326" s="20" t="str">
        <f>TEXT(SalesHistory[[#This Row],[日付]],"yyyy-mm")</f>
        <v>2026-02</v>
      </c>
      <c r="K326" s="35">
        <f>YEAR(SalesHistory[[#This Row],[日付]])</f>
        <v>2026</v>
      </c>
      <c r="L326" s="35">
        <f>MONTH(SalesHistory[[#This Row],[日付]])</f>
        <v>2</v>
      </c>
    </row>
    <row r="327" spans="1:12" ht="24.95" customHeight="1">
      <c r="A327" s="21">
        <v>46068</v>
      </c>
      <c r="B327" s="20" t="s">
        <v>2</v>
      </c>
      <c r="C327" s="20" t="s">
        <v>232</v>
      </c>
      <c r="D327" s="22">
        <v>16</v>
      </c>
      <c r="E327" s="22">
        <v>2500</v>
      </c>
      <c r="F327" s="22">
        <f t="shared" si="10"/>
        <v>40000</v>
      </c>
      <c r="G327" s="22">
        <v>19200</v>
      </c>
      <c r="H327" s="22">
        <f t="shared" si="11"/>
        <v>20800</v>
      </c>
      <c r="I327" s="20" t="s">
        <v>242</v>
      </c>
      <c r="J327" s="20" t="str">
        <f>TEXT(SalesHistory[[#This Row],[日付]],"yyyy-mm")</f>
        <v>2026-02</v>
      </c>
      <c r="K327" s="35">
        <f>YEAR(SalesHistory[[#This Row],[日付]])</f>
        <v>2026</v>
      </c>
      <c r="L327" s="35">
        <f>MONTH(SalesHistory[[#This Row],[日付]])</f>
        <v>2</v>
      </c>
    </row>
    <row r="328" spans="1:12" ht="24.95" customHeight="1">
      <c r="A328" s="21">
        <v>46078</v>
      </c>
      <c r="B328" s="20" t="s">
        <v>2</v>
      </c>
      <c r="C328" s="20" t="s">
        <v>232</v>
      </c>
      <c r="D328" s="22">
        <v>4</v>
      </c>
      <c r="E328" s="22">
        <v>2500</v>
      </c>
      <c r="F328" s="22">
        <f t="shared" si="10"/>
        <v>10000</v>
      </c>
      <c r="G328" s="22">
        <v>4800</v>
      </c>
      <c r="H328" s="22">
        <f t="shared" si="11"/>
        <v>5200</v>
      </c>
      <c r="I328" s="20" t="s">
        <v>242</v>
      </c>
      <c r="J328" s="20" t="str">
        <f>TEXT(SalesHistory[[#This Row],[日付]],"yyyy-mm")</f>
        <v>2026-02</v>
      </c>
      <c r="K328" s="35">
        <f>YEAR(SalesHistory[[#This Row],[日付]])</f>
        <v>2026</v>
      </c>
      <c r="L328" s="35">
        <f>MONTH(SalesHistory[[#This Row],[日付]])</f>
        <v>2</v>
      </c>
    </row>
    <row r="329" spans="1:12" ht="24.95" customHeight="1">
      <c r="A329" s="21">
        <v>46058</v>
      </c>
      <c r="B329" s="20" t="s">
        <v>128</v>
      </c>
      <c r="C329" s="20" t="s">
        <v>148</v>
      </c>
      <c r="D329" s="22">
        <v>32</v>
      </c>
      <c r="E329" s="22">
        <v>2000</v>
      </c>
      <c r="F329" s="22">
        <f t="shared" si="10"/>
        <v>64000</v>
      </c>
      <c r="G329" s="22">
        <v>34560</v>
      </c>
      <c r="H329" s="22">
        <f t="shared" si="11"/>
        <v>29440</v>
      </c>
      <c r="I329" s="20" t="s">
        <v>242</v>
      </c>
      <c r="J329" s="20" t="str">
        <f>TEXT(SalesHistory[[#This Row],[日付]],"yyyy-mm")</f>
        <v>2026-02</v>
      </c>
      <c r="K329" s="35">
        <f>YEAR(SalesHistory[[#This Row],[日付]])</f>
        <v>2026</v>
      </c>
      <c r="L329" s="35">
        <f>MONTH(SalesHistory[[#This Row],[日付]])</f>
        <v>2</v>
      </c>
    </row>
    <row r="330" spans="1:12" ht="24.95" customHeight="1">
      <c r="A330" s="21">
        <v>46068</v>
      </c>
      <c r="B330" s="20" t="s">
        <v>128</v>
      </c>
      <c r="C330" s="20" t="s">
        <v>148</v>
      </c>
      <c r="D330" s="22">
        <v>20</v>
      </c>
      <c r="E330" s="22">
        <v>2000</v>
      </c>
      <c r="F330" s="22">
        <f t="shared" si="10"/>
        <v>40000</v>
      </c>
      <c r="G330" s="22">
        <v>21600</v>
      </c>
      <c r="H330" s="22">
        <f t="shared" si="11"/>
        <v>18400</v>
      </c>
      <c r="I330" s="20" t="s">
        <v>242</v>
      </c>
      <c r="J330" s="20" t="str">
        <f>TEXT(SalesHistory[[#This Row],[日付]],"yyyy-mm")</f>
        <v>2026-02</v>
      </c>
      <c r="K330" s="35">
        <f>YEAR(SalesHistory[[#This Row],[日付]])</f>
        <v>2026</v>
      </c>
      <c r="L330" s="35">
        <f>MONTH(SalesHistory[[#This Row],[日付]])</f>
        <v>2</v>
      </c>
    </row>
    <row r="331" spans="1:12" ht="24.95" customHeight="1">
      <c r="A331" s="21">
        <v>46078</v>
      </c>
      <c r="B331" s="20" t="s">
        <v>128</v>
      </c>
      <c r="C331" s="20" t="s">
        <v>148</v>
      </c>
      <c r="D331" s="22">
        <v>25</v>
      </c>
      <c r="E331" s="22">
        <v>2000</v>
      </c>
      <c r="F331" s="22">
        <f t="shared" si="10"/>
        <v>50000</v>
      </c>
      <c r="G331" s="22">
        <v>27000</v>
      </c>
      <c r="H331" s="22">
        <f t="shared" si="11"/>
        <v>23000</v>
      </c>
      <c r="I331" s="20" t="s">
        <v>242</v>
      </c>
      <c r="J331" s="20" t="str">
        <f>TEXT(SalesHistory[[#This Row],[日付]],"yyyy-mm")</f>
        <v>2026-02</v>
      </c>
      <c r="K331" s="35">
        <f>YEAR(SalesHistory[[#This Row],[日付]])</f>
        <v>2026</v>
      </c>
      <c r="L331" s="35">
        <f>MONTH(SalesHistory[[#This Row],[日付]])</f>
        <v>2</v>
      </c>
    </row>
    <row r="332" spans="1:12" ht="24.95" customHeight="1">
      <c r="A332" s="21">
        <v>46058</v>
      </c>
      <c r="B332" s="20" t="s">
        <v>128</v>
      </c>
      <c r="C332" s="20" t="s">
        <v>233</v>
      </c>
      <c r="D332" s="22">
        <v>35</v>
      </c>
      <c r="E332" s="22">
        <v>1800</v>
      </c>
      <c r="F332" s="22">
        <f t="shared" si="10"/>
        <v>63000</v>
      </c>
      <c r="G332" s="22">
        <v>37800</v>
      </c>
      <c r="H332" s="22">
        <f t="shared" si="11"/>
        <v>25200</v>
      </c>
      <c r="I332" s="20" t="s">
        <v>242</v>
      </c>
      <c r="J332" s="20" t="str">
        <f>TEXT(SalesHistory[[#This Row],[日付]],"yyyy-mm")</f>
        <v>2026-02</v>
      </c>
      <c r="K332" s="35">
        <f>YEAR(SalesHistory[[#This Row],[日付]])</f>
        <v>2026</v>
      </c>
      <c r="L332" s="35">
        <f>MONTH(SalesHistory[[#This Row],[日付]])</f>
        <v>2</v>
      </c>
    </row>
    <row r="333" spans="1:12" ht="24.95" customHeight="1">
      <c r="A333" s="21">
        <v>46068</v>
      </c>
      <c r="B333" s="20" t="s">
        <v>128</v>
      </c>
      <c r="C333" s="20" t="s">
        <v>233</v>
      </c>
      <c r="D333" s="22">
        <v>23</v>
      </c>
      <c r="E333" s="22">
        <v>1800</v>
      </c>
      <c r="F333" s="22">
        <f t="shared" si="10"/>
        <v>41400</v>
      </c>
      <c r="G333" s="22">
        <v>24840</v>
      </c>
      <c r="H333" s="22">
        <f t="shared" si="11"/>
        <v>16560</v>
      </c>
      <c r="I333" s="20" t="s">
        <v>242</v>
      </c>
      <c r="J333" s="20" t="str">
        <f>TEXT(SalesHistory[[#This Row],[日付]],"yyyy-mm")</f>
        <v>2026-02</v>
      </c>
      <c r="K333" s="35">
        <f>YEAR(SalesHistory[[#This Row],[日付]])</f>
        <v>2026</v>
      </c>
      <c r="L333" s="35">
        <f>MONTH(SalesHistory[[#This Row],[日付]])</f>
        <v>2</v>
      </c>
    </row>
    <row r="334" spans="1:12" ht="24.95" customHeight="1">
      <c r="A334" s="21">
        <v>46078</v>
      </c>
      <c r="B334" s="20" t="s">
        <v>128</v>
      </c>
      <c r="C334" s="20" t="s">
        <v>233</v>
      </c>
      <c r="D334" s="22">
        <v>28</v>
      </c>
      <c r="E334" s="22">
        <v>1800</v>
      </c>
      <c r="F334" s="22">
        <f t="shared" si="10"/>
        <v>50400</v>
      </c>
      <c r="G334" s="22">
        <v>30240</v>
      </c>
      <c r="H334" s="22">
        <f t="shared" si="11"/>
        <v>20160</v>
      </c>
      <c r="I334" s="20" t="s">
        <v>242</v>
      </c>
      <c r="J334" s="20" t="str">
        <f>TEXT(SalesHistory[[#This Row],[日付]],"yyyy-mm")</f>
        <v>2026-02</v>
      </c>
      <c r="K334" s="35">
        <f>YEAR(SalesHistory[[#This Row],[日付]])</f>
        <v>2026</v>
      </c>
      <c r="L334" s="35">
        <f>MONTH(SalesHistory[[#This Row],[日付]])</f>
        <v>2</v>
      </c>
    </row>
    <row r="335" spans="1:12" ht="24.95" customHeight="1">
      <c r="A335" s="21">
        <v>46058</v>
      </c>
      <c r="B335" s="20" t="s">
        <v>128</v>
      </c>
      <c r="C335" s="20" t="s">
        <v>234</v>
      </c>
      <c r="D335" s="22">
        <v>21</v>
      </c>
      <c r="E335" s="22">
        <v>3200</v>
      </c>
      <c r="F335" s="22">
        <f t="shared" si="10"/>
        <v>67200</v>
      </c>
      <c r="G335" s="22">
        <v>44352</v>
      </c>
      <c r="H335" s="22">
        <f t="shared" si="11"/>
        <v>22848</v>
      </c>
      <c r="I335" s="20" t="s">
        <v>242</v>
      </c>
      <c r="J335" s="20" t="str">
        <f>TEXT(SalesHistory[[#This Row],[日付]],"yyyy-mm")</f>
        <v>2026-02</v>
      </c>
      <c r="K335" s="35">
        <f>YEAR(SalesHistory[[#This Row],[日付]])</f>
        <v>2026</v>
      </c>
      <c r="L335" s="35">
        <f>MONTH(SalesHistory[[#This Row],[日付]])</f>
        <v>2</v>
      </c>
    </row>
    <row r="336" spans="1:12" ht="24.95" customHeight="1">
      <c r="A336" s="21">
        <v>46068</v>
      </c>
      <c r="B336" s="20" t="s">
        <v>128</v>
      </c>
      <c r="C336" s="20" t="s">
        <v>234</v>
      </c>
      <c r="D336" s="22">
        <v>26</v>
      </c>
      <c r="E336" s="22">
        <v>3200</v>
      </c>
      <c r="F336" s="22">
        <f t="shared" si="10"/>
        <v>83200</v>
      </c>
      <c r="G336" s="22">
        <v>54912</v>
      </c>
      <c r="H336" s="22">
        <f t="shared" si="11"/>
        <v>28288</v>
      </c>
      <c r="I336" s="20" t="s">
        <v>242</v>
      </c>
      <c r="J336" s="20" t="str">
        <f>TEXT(SalesHistory[[#This Row],[日付]],"yyyy-mm")</f>
        <v>2026-02</v>
      </c>
      <c r="K336" s="35">
        <f>YEAR(SalesHistory[[#This Row],[日付]])</f>
        <v>2026</v>
      </c>
      <c r="L336" s="35">
        <f>MONTH(SalesHistory[[#This Row],[日付]])</f>
        <v>2</v>
      </c>
    </row>
    <row r="337" spans="1:12" ht="24.95" customHeight="1">
      <c r="A337" s="21">
        <v>46078</v>
      </c>
      <c r="B337" s="20" t="s">
        <v>128</v>
      </c>
      <c r="C337" s="20" t="s">
        <v>234</v>
      </c>
      <c r="D337" s="22">
        <v>31</v>
      </c>
      <c r="E337" s="22">
        <v>3200</v>
      </c>
      <c r="F337" s="22">
        <f t="shared" si="10"/>
        <v>99200</v>
      </c>
      <c r="G337" s="22">
        <v>65472</v>
      </c>
      <c r="H337" s="22">
        <f t="shared" si="11"/>
        <v>33728</v>
      </c>
      <c r="I337" s="20" t="s">
        <v>242</v>
      </c>
      <c r="J337" s="20" t="str">
        <f>TEXT(SalesHistory[[#This Row],[日付]],"yyyy-mm")</f>
        <v>2026-02</v>
      </c>
      <c r="K337" s="35">
        <f>YEAR(SalesHistory[[#This Row],[日付]])</f>
        <v>2026</v>
      </c>
      <c r="L337" s="35">
        <f>MONTH(SalesHistory[[#This Row],[日付]])</f>
        <v>2</v>
      </c>
    </row>
    <row r="338" spans="1:12" ht="24.95" customHeight="1">
      <c r="A338" s="21">
        <v>46058</v>
      </c>
      <c r="B338" s="20" t="s">
        <v>128</v>
      </c>
      <c r="C338" s="20" t="s">
        <v>235</v>
      </c>
      <c r="D338" s="22">
        <v>24</v>
      </c>
      <c r="E338" s="22">
        <v>4000</v>
      </c>
      <c r="F338" s="22">
        <f t="shared" si="10"/>
        <v>96000</v>
      </c>
      <c r="G338" s="22">
        <v>69120</v>
      </c>
      <c r="H338" s="22">
        <f t="shared" si="11"/>
        <v>26880</v>
      </c>
      <c r="I338" s="20" t="s">
        <v>242</v>
      </c>
      <c r="J338" s="20" t="str">
        <f>TEXT(SalesHistory[[#This Row],[日付]],"yyyy-mm")</f>
        <v>2026-02</v>
      </c>
      <c r="K338" s="35">
        <f>YEAR(SalesHistory[[#This Row],[日付]])</f>
        <v>2026</v>
      </c>
      <c r="L338" s="35">
        <f>MONTH(SalesHistory[[#This Row],[日付]])</f>
        <v>2</v>
      </c>
    </row>
    <row r="339" spans="1:12" ht="24.95" customHeight="1">
      <c r="A339" s="21">
        <v>46068</v>
      </c>
      <c r="B339" s="20" t="s">
        <v>128</v>
      </c>
      <c r="C339" s="20" t="s">
        <v>235</v>
      </c>
      <c r="D339" s="22">
        <v>29</v>
      </c>
      <c r="E339" s="22">
        <v>4000</v>
      </c>
      <c r="F339" s="22">
        <f t="shared" si="10"/>
        <v>116000</v>
      </c>
      <c r="G339" s="22">
        <v>83520</v>
      </c>
      <c r="H339" s="22">
        <f t="shared" si="11"/>
        <v>32480</v>
      </c>
      <c r="I339" s="20" t="s">
        <v>242</v>
      </c>
      <c r="J339" s="20" t="str">
        <f>TEXT(SalesHistory[[#This Row],[日付]],"yyyy-mm")</f>
        <v>2026-02</v>
      </c>
      <c r="K339" s="35">
        <f>YEAR(SalesHistory[[#This Row],[日付]])</f>
        <v>2026</v>
      </c>
      <c r="L339" s="35">
        <f>MONTH(SalesHistory[[#This Row],[日付]])</f>
        <v>2</v>
      </c>
    </row>
    <row r="340" spans="1:12" ht="24.95" customHeight="1">
      <c r="A340" s="21">
        <v>46078</v>
      </c>
      <c r="B340" s="20" t="s">
        <v>128</v>
      </c>
      <c r="C340" s="20" t="s">
        <v>235</v>
      </c>
      <c r="D340" s="22">
        <v>34</v>
      </c>
      <c r="E340" s="22">
        <v>4000</v>
      </c>
      <c r="F340" s="22">
        <f t="shared" si="10"/>
        <v>136000</v>
      </c>
      <c r="G340" s="22">
        <v>97920</v>
      </c>
      <c r="H340" s="22">
        <f t="shared" si="11"/>
        <v>38080</v>
      </c>
      <c r="I340" s="20" t="s">
        <v>242</v>
      </c>
      <c r="J340" s="20" t="str">
        <f>TEXT(SalesHistory[[#This Row],[日付]],"yyyy-mm")</f>
        <v>2026-02</v>
      </c>
      <c r="K340" s="35">
        <f>YEAR(SalesHistory[[#This Row],[日付]])</f>
        <v>2026</v>
      </c>
      <c r="L340" s="35">
        <f>MONTH(SalesHistory[[#This Row],[日付]])</f>
        <v>2</v>
      </c>
    </row>
    <row r="341" spans="1:12" ht="24.95" customHeight="1">
      <c r="A341" s="21">
        <v>46086</v>
      </c>
      <c r="B341" s="20" t="s">
        <v>2</v>
      </c>
      <c r="C341" s="20" t="s">
        <v>56</v>
      </c>
      <c r="D341" s="22">
        <v>9</v>
      </c>
      <c r="E341" s="22">
        <v>50000</v>
      </c>
      <c r="F341" s="22">
        <f t="shared" si="10"/>
        <v>450000</v>
      </c>
      <c r="G341" s="22">
        <v>297000</v>
      </c>
      <c r="H341" s="22">
        <f t="shared" si="11"/>
        <v>153000</v>
      </c>
      <c r="I341" s="20" t="s">
        <v>242</v>
      </c>
      <c r="J341" s="20" t="str">
        <f>TEXT(SalesHistory[[#This Row],[日付]],"yyyy-mm")</f>
        <v>2026-03</v>
      </c>
      <c r="K341" s="35">
        <f>YEAR(SalesHistory[[#This Row],[日付]])</f>
        <v>2026</v>
      </c>
      <c r="L341" s="35">
        <f>MONTH(SalesHistory[[#This Row],[日付]])</f>
        <v>3</v>
      </c>
    </row>
    <row r="342" spans="1:12" ht="24.95" customHeight="1">
      <c r="A342" s="21">
        <v>46096</v>
      </c>
      <c r="B342" s="20" t="s">
        <v>2</v>
      </c>
      <c r="C342" s="20" t="s">
        <v>56</v>
      </c>
      <c r="D342" s="22">
        <v>14</v>
      </c>
      <c r="E342" s="22">
        <v>50000</v>
      </c>
      <c r="F342" s="22">
        <f t="shared" si="10"/>
        <v>700000</v>
      </c>
      <c r="G342" s="22">
        <v>462000</v>
      </c>
      <c r="H342" s="22">
        <f t="shared" si="11"/>
        <v>238000</v>
      </c>
      <c r="I342" s="20" t="s">
        <v>242</v>
      </c>
      <c r="J342" s="20" t="str">
        <f>TEXT(SalesHistory[[#This Row],[日付]],"yyyy-mm")</f>
        <v>2026-03</v>
      </c>
      <c r="K342" s="35">
        <f>YEAR(SalesHistory[[#This Row],[日付]])</f>
        <v>2026</v>
      </c>
      <c r="L342" s="35">
        <f>MONTH(SalesHistory[[#This Row],[日付]])</f>
        <v>3</v>
      </c>
    </row>
    <row r="343" spans="1:12" ht="24.95" customHeight="1">
      <c r="A343" s="21">
        <v>46106</v>
      </c>
      <c r="B343" s="20" t="s">
        <v>2</v>
      </c>
      <c r="C343" s="20" t="s">
        <v>56</v>
      </c>
      <c r="D343" s="22">
        <v>2</v>
      </c>
      <c r="E343" s="22">
        <v>50000</v>
      </c>
      <c r="F343" s="22">
        <f t="shared" si="10"/>
        <v>100000</v>
      </c>
      <c r="G343" s="22">
        <v>66000</v>
      </c>
      <c r="H343" s="22">
        <f t="shared" si="11"/>
        <v>34000</v>
      </c>
      <c r="I343" s="20" t="s">
        <v>242</v>
      </c>
      <c r="J343" s="20" t="str">
        <f>TEXT(SalesHistory[[#This Row],[日付]],"yyyy-mm")</f>
        <v>2026-03</v>
      </c>
      <c r="K343" s="35">
        <f>YEAR(SalesHistory[[#This Row],[日付]])</f>
        <v>2026</v>
      </c>
      <c r="L343" s="35">
        <f>MONTH(SalesHistory[[#This Row],[日付]])</f>
        <v>3</v>
      </c>
    </row>
    <row r="344" spans="1:12" ht="24.95" customHeight="1">
      <c r="A344" s="21">
        <v>46086</v>
      </c>
      <c r="B344" s="20" t="s">
        <v>2</v>
      </c>
      <c r="C344" s="20" t="s">
        <v>60</v>
      </c>
      <c r="D344" s="22">
        <v>12</v>
      </c>
      <c r="E344" s="22">
        <v>15000</v>
      </c>
      <c r="F344" s="22">
        <f t="shared" si="10"/>
        <v>180000</v>
      </c>
      <c r="G344" s="22">
        <v>129600</v>
      </c>
      <c r="H344" s="22">
        <f t="shared" si="11"/>
        <v>50400</v>
      </c>
      <c r="I344" s="20" t="s">
        <v>242</v>
      </c>
      <c r="J344" s="20" t="str">
        <f>TEXT(SalesHistory[[#This Row],[日付]],"yyyy-mm")</f>
        <v>2026-03</v>
      </c>
      <c r="K344" s="35">
        <f>YEAR(SalesHistory[[#This Row],[日付]])</f>
        <v>2026</v>
      </c>
      <c r="L344" s="35">
        <f>MONTH(SalesHistory[[#This Row],[日付]])</f>
        <v>3</v>
      </c>
    </row>
    <row r="345" spans="1:12" ht="24.95" customHeight="1">
      <c r="A345" s="21">
        <v>46096</v>
      </c>
      <c r="B345" s="20" t="s">
        <v>2</v>
      </c>
      <c r="C345" s="20" t="s">
        <v>60</v>
      </c>
      <c r="D345" s="22">
        <v>17</v>
      </c>
      <c r="E345" s="22">
        <v>15000</v>
      </c>
      <c r="F345" s="22">
        <f t="shared" si="10"/>
        <v>255000</v>
      </c>
      <c r="G345" s="22">
        <v>183600</v>
      </c>
      <c r="H345" s="22">
        <f t="shared" si="11"/>
        <v>71400</v>
      </c>
      <c r="I345" s="20" t="s">
        <v>242</v>
      </c>
      <c r="J345" s="20" t="str">
        <f>TEXT(SalesHistory[[#This Row],[日付]],"yyyy-mm")</f>
        <v>2026-03</v>
      </c>
      <c r="K345" s="35">
        <f>YEAR(SalesHistory[[#This Row],[日付]])</f>
        <v>2026</v>
      </c>
      <c r="L345" s="35">
        <f>MONTH(SalesHistory[[#This Row],[日付]])</f>
        <v>3</v>
      </c>
    </row>
    <row r="346" spans="1:12" ht="24.95" customHeight="1">
      <c r="A346" s="21">
        <v>46106</v>
      </c>
      <c r="B346" s="20" t="s">
        <v>2</v>
      </c>
      <c r="C346" s="20" t="s">
        <v>60</v>
      </c>
      <c r="D346" s="22">
        <v>5</v>
      </c>
      <c r="E346" s="22">
        <v>15000</v>
      </c>
      <c r="F346" s="22">
        <f t="shared" si="10"/>
        <v>75000</v>
      </c>
      <c r="G346" s="22">
        <v>54000</v>
      </c>
      <c r="H346" s="22">
        <f t="shared" si="11"/>
        <v>21000</v>
      </c>
      <c r="I346" s="20" t="s">
        <v>242</v>
      </c>
      <c r="J346" s="20" t="str">
        <f>TEXT(SalesHistory[[#This Row],[日付]],"yyyy-mm")</f>
        <v>2026-03</v>
      </c>
      <c r="K346" s="35">
        <f>YEAR(SalesHistory[[#This Row],[日付]])</f>
        <v>2026</v>
      </c>
      <c r="L346" s="35">
        <f>MONTH(SalesHistory[[#This Row],[日付]])</f>
        <v>3</v>
      </c>
    </row>
    <row r="347" spans="1:12" ht="24.95" customHeight="1">
      <c r="A347" s="21">
        <v>46086</v>
      </c>
      <c r="B347" s="20" t="s">
        <v>2</v>
      </c>
      <c r="C347" s="20" t="s">
        <v>231</v>
      </c>
      <c r="D347" s="22">
        <v>15</v>
      </c>
      <c r="E347" s="22">
        <v>35000</v>
      </c>
      <c r="F347" s="22">
        <f t="shared" si="10"/>
        <v>525000</v>
      </c>
      <c r="G347" s="22">
        <v>252000</v>
      </c>
      <c r="H347" s="22">
        <f t="shared" si="11"/>
        <v>273000</v>
      </c>
      <c r="I347" s="20" t="s">
        <v>242</v>
      </c>
      <c r="J347" s="20" t="str">
        <f>TEXT(SalesHistory[[#This Row],[日付]],"yyyy-mm")</f>
        <v>2026-03</v>
      </c>
      <c r="K347" s="35">
        <f>YEAR(SalesHistory[[#This Row],[日付]])</f>
        <v>2026</v>
      </c>
      <c r="L347" s="35">
        <f>MONTH(SalesHistory[[#This Row],[日付]])</f>
        <v>3</v>
      </c>
    </row>
    <row r="348" spans="1:12" ht="24.95" customHeight="1">
      <c r="A348" s="21">
        <v>46096</v>
      </c>
      <c r="B348" s="20" t="s">
        <v>2</v>
      </c>
      <c r="C348" s="20" t="s">
        <v>231</v>
      </c>
      <c r="D348" s="22">
        <v>3</v>
      </c>
      <c r="E348" s="22">
        <v>35000</v>
      </c>
      <c r="F348" s="22">
        <f t="shared" si="10"/>
        <v>105000</v>
      </c>
      <c r="G348" s="22">
        <v>50400</v>
      </c>
      <c r="H348" s="22">
        <f t="shared" si="11"/>
        <v>54600</v>
      </c>
      <c r="I348" s="20" t="s">
        <v>242</v>
      </c>
      <c r="J348" s="20" t="str">
        <f>TEXT(SalesHistory[[#This Row],[日付]],"yyyy-mm")</f>
        <v>2026-03</v>
      </c>
      <c r="K348" s="35">
        <f>YEAR(SalesHistory[[#This Row],[日付]])</f>
        <v>2026</v>
      </c>
      <c r="L348" s="35">
        <f>MONTH(SalesHistory[[#This Row],[日付]])</f>
        <v>3</v>
      </c>
    </row>
    <row r="349" spans="1:12" ht="24.95" customHeight="1">
      <c r="A349" s="21">
        <v>46106</v>
      </c>
      <c r="B349" s="20" t="s">
        <v>2</v>
      </c>
      <c r="C349" s="20" t="s">
        <v>231</v>
      </c>
      <c r="D349" s="22">
        <v>8</v>
      </c>
      <c r="E349" s="22">
        <v>35000</v>
      </c>
      <c r="F349" s="22">
        <f t="shared" si="10"/>
        <v>280000</v>
      </c>
      <c r="G349" s="22">
        <v>134400</v>
      </c>
      <c r="H349" s="22">
        <f t="shared" si="11"/>
        <v>145600</v>
      </c>
      <c r="I349" s="20" t="s">
        <v>242</v>
      </c>
      <c r="J349" s="20" t="str">
        <f>TEXT(SalesHistory[[#This Row],[日付]],"yyyy-mm")</f>
        <v>2026-03</v>
      </c>
      <c r="K349" s="35">
        <f>YEAR(SalesHistory[[#This Row],[日付]])</f>
        <v>2026</v>
      </c>
      <c r="L349" s="35">
        <f>MONTH(SalesHistory[[#This Row],[日付]])</f>
        <v>3</v>
      </c>
    </row>
    <row r="350" spans="1:12" ht="24.95" customHeight="1">
      <c r="A350" s="21">
        <v>46086</v>
      </c>
      <c r="B350" s="20" t="s">
        <v>2</v>
      </c>
      <c r="C350" s="20" t="s">
        <v>232</v>
      </c>
      <c r="D350" s="22">
        <v>18</v>
      </c>
      <c r="E350" s="22">
        <v>2500</v>
      </c>
      <c r="F350" s="22">
        <f t="shared" si="10"/>
        <v>45000</v>
      </c>
      <c r="G350" s="22">
        <v>24300</v>
      </c>
      <c r="H350" s="22">
        <f t="shared" si="11"/>
        <v>20700</v>
      </c>
      <c r="I350" s="20" t="s">
        <v>242</v>
      </c>
      <c r="J350" s="20" t="str">
        <f>TEXT(SalesHistory[[#This Row],[日付]],"yyyy-mm")</f>
        <v>2026-03</v>
      </c>
      <c r="K350" s="35">
        <f>YEAR(SalesHistory[[#This Row],[日付]])</f>
        <v>2026</v>
      </c>
      <c r="L350" s="35">
        <f>MONTH(SalesHistory[[#This Row],[日付]])</f>
        <v>3</v>
      </c>
    </row>
    <row r="351" spans="1:12" ht="24.95" customHeight="1">
      <c r="A351" s="21">
        <v>46096</v>
      </c>
      <c r="B351" s="20" t="s">
        <v>2</v>
      </c>
      <c r="C351" s="20" t="s">
        <v>232</v>
      </c>
      <c r="D351" s="22">
        <v>6</v>
      </c>
      <c r="E351" s="22">
        <v>2500</v>
      </c>
      <c r="F351" s="22">
        <f t="shared" si="10"/>
        <v>15000</v>
      </c>
      <c r="G351" s="22">
        <v>8100</v>
      </c>
      <c r="H351" s="22">
        <f t="shared" si="11"/>
        <v>6900</v>
      </c>
      <c r="I351" s="20" t="s">
        <v>242</v>
      </c>
      <c r="J351" s="20" t="str">
        <f>TEXT(SalesHistory[[#This Row],[日付]],"yyyy-mm")</f>
        <v>2026-03</v>
      </c>
      <c r="K351" s="35">
        <f>YEAR(SalesHistory[[#This Row],[日付]])</f>
        <v>2026</v>
      </c>
      <c r="L351" s="35">
        <f>MONTH(SalesHistory[[#This Row],[日付]])</f>
        <v>3</v>
      </c>
    </row>
    <row r="352" spans="1:12" ht="24.95" customHeight="1">
      <c r="A352" s="21">
        <v>46106</v>
      </c>
      <c r="B352" s="20" t="s">
        <v>2</v>
      </c>
      <c r="C352" s="20" t="s">
        <v>232</v>
      </c>
      <c r="D352" s="22">
        <v>11</v>
      </c>
      <c r="E352" s="22">
        <v>2500</v>
      </c>
      <c r="F352" s="22">
        <f t="shared" si="10"/>
        <v>27500</v>
      </c>
      <c r="G352" s="22">
        <v>14850</v>
      </c>
      <c r="H352" s="22">
        <f t="shared" si="11"/>
        <v>12650</v>
      </c>
      <c r="I352" s="20" t="s">
        <v>242</v>
      </c>
      <c r="J352" s="20" t="str">
        <f>TEXT(SalesHistory[[#This Row],[日付]],"yyyy-mm")</f>
        <v>2026-03</v>
      </c>
      <c r="K352" s="35">
        <f>YEAR(SalesHistory[[#This Row],[日付]])</f>
        <v>2026</v>
      </c>
      <c r="L352" s="35">
        <f>MONTH(SalesHistory[[#This Row],[日付]])</f>
        <v>3</v>
      </c>
    </row>
    <row r="353" spans="1:12" ht="24.95" customHeight="1">
      <c r="A353" s="21">
        <v>46086</v>
      </c>
      <c r="B353" s="20" t="s">
        <v>128</v>
      </c>
      <c r="C353" s="20" t="s">
        <v>148</v>
      </c>
      <c r="D353" s="22">
        <v>22</v>
      </c>
      <c r="E353" s="22">
        <v>2000</v>
      </c>
      <c r="F353" s="22">
        <f t="shared" si="10"/>
        <v>44000</v>
      </c>
      <c r="G353" s="22">
        <v>26400</v>
      </c>
      <c r="H353" s="22">
        <f t="shared" si="11"/>
        <v>17600</v>
      </c>
      <c r="I353" s="20" t="s">
        <v>242</v>
      </c>
      <c r="J353" s="20" t="str">
        <f>TEXT(SalesHistory[[#This Row],[日付]],"yyyy-mm")</f>
        <v>2026-03</v>
      </c>
      <c r="K353" s="35">
        <f>YEAR(SalesHistory[[#This Row],[日付]])</f>
        <v>2026</v>
      </c>
      <c r="L353" s="35">
        <f>MONTH(SalesHistory[[#This Row],[日付]])</f>
        <v>3</v>
      </c>
    </row>
    <row r="354" spans="1:12" ht="24.95" customHeight="1">
      <c r="A354" s="21">
        <v>46096</v>
      </c>
      <c r="B354" s="20" t="s">
        <v>128</v>
      </c>
      <c r="C354" s="20" t="s">
        <v>148</v>
      </c>
      <c r="D354" s="22">
        <v>27</v>
      </c>
      <c r="E354" s="22">
        <v>2000</v>
      </c>
      <c r="F354" s="22">
        <f t="shared" si="10"/>
        <v>54000</v>
      </c>
      <c r="G354" s="22">
        <v>32400</v>
      </c>
      <c r="H354" s="22">
        <f t="shared" si="11"/>
        <v>21600</v>
      </c>
      <c r="I354" s="20" t="s">
        <v>242</v>
      </c>
      <c r="J354" s="20" t="str">
        <f>TEXT(SalesHistory[[#This Row],[日付]],"yyyy-mm")</f>
        <v>2026-03</v>
      </c>
      <c r="K354" s="35">
        <f>YEAR(SalesHistory[[#This Row],[日付]])</f>
        <v>2026</v>
      </c>
      <c r="L354" s="35">
        <f>MONTH(SalesHistory[[#This Row],[日付]])</f>
        <v>3</v>
      </c>
    </row>
    <row r="355" spans="1:12" ht="24.95" customHeight="1">
      <c r="A355" s="21">
        <v>46106</v>
      </c>
      <c r="B355" s="20" t="s">
        <v>128</v>
      </c>
      <c r="C355" s="20" t="s">
        <v>148</v>
      </c>
      <c r="D355" s="22">
        <v>32</v>
      </c>
      <c r="E355" s="22">
        <v>2000</v>
      </c>
      <c r="F355" s="22">
        <f t="shared" si="10"/>
        <v>64000</v>
      </c>
      <c r="G355" s="22">
        <v>38400</v>
      </c>
      <c r="H355" s="22">
        <f t="shared" si="11"/>
        <v>25600</v>
      </c>
      <c r="I355" s="20" t="s">
        <v>242</v>
      </c>
      <c r="J355" s="20" t="str">
        <f>TEXT(SalesHistory[[#This Row],[日付]],"yyyy-mm")</f>
        <v>2026-03</v>
      </c>
      <c r="K355" s="35">
        <f>YEAR(SalesHistory[[#This Row],[日付]])</f>
        <v>2026</v>
      </c>
      <c r="L355" s="35">
        <f>MONTH(SalesHistory[[#This Row],[日付]])</f>
        <v>3</v>
      </c>
    </row>
    <row r="356" spans="1:12" ht="24.95" customHeight="1">
      <c r="A356" s="21">
        <v>46086</v>
      </c>
      <c r="B356" s="20" t="s">
        <v>128</v>
      </c>
      <c r="C356" s="20" t="s">
        <v>233</v>
      </c>
      <c r="D356" s="22">
        <v>25</v>
      </c>
      <c r="E356" s="22">
        <v>1800</v>
      </c>
      <c r="F356" s="22">
        <f t="shared" si="10"/>
        <v>45000</v>
      </c>
      <c r="G356" s="22">
        <v>29700</v>
      </c>
      <c r="H356" s="22">
        <f t="shared" si="11"/>
        <v>15300</v>
      </c>
      <c r="I356" s="20" t="s">
        <v>242</v>
      </c>
      <c r="J356" s="20" t="str">
        <f>TEXT(SalesHistory[[#This Row],[日付]],"yyyy-mm")</f>
        <v>2026-03</v>
      </c>
      <c r="K356" s="35">
        <f>YEAR(SalesHistory[[#This Row],[日付]])</f>
        <v>2026</v>
      </c>
      <c r="L356" s="35">
        <f>MONTH(SalesHistory[[#This Row],[日付]])</f>
        <v>3</v>
      </c>
    </row>
    <row r="357" spans="1:12" ht="24.95" customHeight="1">
      <c r="A357" s="21">
        <v>46096</v>
      </c>
      <c r="B357" s="20" t="s">
        <v>128</v>
      </c>
      <c r="C357" s="20" t="s">
        <v>233</v>
      </c>
      <c r="D357" s="22">
        <v>30</v>
      </c>
      <c r="E357" s="22">
        <v>1800</v>
      </c>
      <c r="F357" s="22">
        <f t="shared" si="10"/>
        <v>54000</v>
      </c>
      <c r="G357" s="22">
        <v>35640</v>
      </c>
      <c r="H357" s="22">
        <f t="shared" si="11"/>
        <v>18360</v>
      </c>
      <c r="I357" s="20" t="s">
        <v>242</v>
      </c>
      <c r="J357" s="20" t="str">
        <f>TEXT(SalesHistory[[#This Row],[日付]],"yyyy-mm")</f>
        <v>2026-03</v>
      </c>
      <c r="K357" s="35">
        <f>YEAR(SalesHistory[[#This Row],[日付]])</f>
        <v>2026</v>
      </c>
      <c r="L357" s="35">
        <f>MONTH(SalesHistory[[#This Row],[日付]])</f>
        <v>3</v>
      </c>
    </row>
    <row r="358" spans="1:12" ht="24.95" customHeight="1">
      <c r="A358" s="21">
        <v>46106</v>
      </c>
      <c r="B358" s="20" t="s">
        <v>128</v>
      </c>
      <c r="C358" s="20" t="s">
        <v>233</v>
      </c>
      <c r="D358" s="22">
        <v>35</v>
      </c>
      <c r="E358" s="22">
        <v>1800</v>
      </c>
      <c r="F358" s="22">
        <f t="shared" si="10"/>
        <v>63000</v>
      </c>
      <c r="G358" s="22">
        <v>41580</v>
      </c>
      <c r="H358" s="22">
        <f t="shared" si="11"/>
        <v>21420</v>
      </c>
      <c r="I358" s="20" t="s">
        <v>242</v>
      </c>
      <c r="J358" s="20" t="str">
        <f>TEXT(SalesHistory[[#This Row],[日付]],"yyyy-mm")</f>
        <v>2026-03</v>
      </c>
      <c r="K358" s="35">
        <f>YEAR(SalesHistory[[#This Row],[日付]])</f>
        <v>2026</v>
      </c>
      <c r="L358" s="35">
        <f>MONTH(SalesHistory[[#This Row],[日付]])</f>
        <v>3</v>
      </c>
    </row>
    <row r="359" spans="1:12" ht="24.95" customHeight="1">
      <c r="A359" s="21">
        <v>46086</v>
      </c>
      <c r="B359" s="20" t="s">
        <v>128</v>
      </c>
      <c r="C359" s="20" t="s">
        <v>234</v>
      </c>
      <c r="D359" s="22">
        <v>28</v>
      </c>
      <c r="E359" s="22">
        <v>3200</v>
      </c>
      <c r="F359" s="22">
        <f t="shared" si="10"/>
        <v>89600</v>
      </c>
      <c r="G359" s="22">
        <v>64512</v>
      </c>
      <c r="H359" s="22">
        <f t="shared" si="11"/>
        <v>25088</v>
      </c>
      <c r="I359" s="20" t="s">
        <v>242</v>
      </c>
      <c r="J359" s="20" t="str">
        <f>TEXT(SalesHistory[[#This Row],[日付]],"yyyy-mm")</f>
        <v>2026-03</v>
      </c>
      <c r="K359" s="35">
        <f>YEAR(SalesHistory[[#This Row],[日付]])</f>
        <v>2026</v>
      </c>
      <c r="L359" s="35">
        <f>MONTH(SalesHistory[[#This Row],[日付]])</f>
        <v>3</v>
      </c>
    </row>
    <row r="360" spans="1:12" ht="24.95" customHeight="1">
      <c r="A360" s="21">
        <v>46096</v>
      </c>
      <c r="B360" s="20" t="s">
        <v>128</v>
      </c>
      <c r="C360" s="20" t="s">
        <v>234</v>
      </c>
      <c r="D360" s="22">
        <v>33</v>
      </c>
      <c r="E360" s="22">
        <v>3200</v>
      </c>
      <c r="F360" s="22">
        <f t="shared" si="10"/>
        <v>105600</v>
      </c>
      <c r="G360" s="22">
        <v>76032</v>
      </c>
      <c r="H360" s="22">
        <f t="shared" si="11"/>
        <v>29568</v>
      </c>
      <c r="I360" s="20" t="s">
        <v>242</v>
      </c>
      <c r="J360" s="20" t="str">
        <f>TEXT(SalesHistory[[#This Row],[日付]],"yyyy-mm")</f>
        <v>2026-03</v>
      </c>
      <c r="K360" s="35">
        <f>YEAR(SalesHistory[[#This Row],[日付]])</f>
        <v>2026</v>
      </c>
      <c r="L360" s="35">
        <f>MONTH(SalesHistory[[#This Row],[日付]])</f>
        <v>3</v>
      </c>
    </row>
    <row r="361" spans="1:12" ht="24.95" customHeight="1">
      <c r="A361" s="21">
        <v>46106</v>
      </c>
      <c r="B361" s="20" t="s">
        <v>128</v>
      </c>
      <c r="C361" s="20" t="s">
        <v>234</v>
      </c>
      <c r="D361" s="22">
        <v>21</v>
      </c>
      <c r="E361" s="22">
        <v>3200</v>
      </c>
      <c r="F361" s="22">
        <f t="shared" si="10"/>
        <v>67200</v>
      </c>
      <c r="G361" s="22">
        <v>48384</v>
      </c>
      <c r="H361" s="22">
        <f t="shared" si="11"/>
        <v>18816</v>
      </c>
      <c r="I361" s="20" t="s">
        <v>242</v>
      </c>
      <c r="J361" s="20" t="str">
        <f>TEXT(SalesHistory[[#This Row],[日付]],"yyyy-mm")</f>
        <v>2026-03</v>
      </c>
      <c r="K361" s="35">
        <f>YEAR(SalesHistory[[#This Row],[日付]])</f>
        <v>2026</v>
      </c>
      <c r="L361" s="35">
        <f>MONTH(SalesHistory[[#This Row],[日付]])</f>
        <v>3</v>
      </c>
    </row>
    <row r="362" spans="1:12" ht="24.95" customHeight="1">
      <c r="A362" s="21">
        <v>46086</v>
      </c>
      <c r="B362" s="20" t="s">
        <v>128</v>
      </c>
      <c r="C362" s="20" t="s">
        <v>235</v>
      </c>
      <c r="D362" s="22">
        <v>31</v>
      </c>
      <c r="E362" s="22">
        <v>4000</v>
      </c>
      <c r="F362" s="22">
        <f t="shared" si="10"/>
        <v>124000</v>
      </c>
      <c r="G362" s="22">
        <v>59520</v>
      </c>
      <c r="H362" s="22">
        <f t="shared" si="11"/>
        <v>64480</v>
      </c>
      <c r="I362" s="20" t="s">
        <v>242</v>
      </c>
      <c r="J362" s="20" t="str">
        <f>TEXT(SalesHistory[[#This Row],[日付]],"yyyy-mm")</f>
        <v>2026-03</v>
      </c>
      <c r="K362" s="35">
        <f>YEAR(SalesHistory[[#This Row],[日付]])</f>
        <v>2026</v>
      </c>
      <c r="L362" s="35">
        <f>MONTH(SalesHistory[[#This Row],[日付]])</f>
        <v>3</v>
      </c>
    </row>
    <row r="363" spans="1:12" ht="24.95" customHeight="1">
      <c r="A363" s="21">
        <v>46096</v>
      </c>
      <c r="B363" s="20" t="s">
        <v>128</v>
      </c>
      <c r="C363" s="20" t="s">
        <v>235</v>
      </c>
      <c r="D363" s="22">
        <v>36</v>
      </c>
      <c r="E363" s="22">
        <v>4000</v>
      </c>
      <c r="F363" s="22">
        <f t="shared" si="10"/>
        <v>144000</v>
      </c>
      <c r="G363" s="22">
        <v>69120</v>
      </c>
      <c r="H363" s="22">
        <f t="shared" si="11"/>
        <v>74880</v>
      </c>
      <c r="I363" s="20" t="s">
        <v>242</v>
      </c>
      <c r="J363" s="20" t="str">
        <f>TEXT(SalesHistory[[#This Row],[日付]],"yyyy-mm")</f>
        <v>2026-03</v>
      </c>
      <c r="K363" s="35">
        <f>YEAR(SalesHistory[[#This Row],[日付]])</f>
        <v>2026</v>
      </c>
      <c r="L363" s="35">
        <f>MONTH(SalesHistory[[#This Row],[日付]])</f>
        <v>3</v>
      </c>
    </row>
    <row r="364" spans="1:12" ht="24.95" customHeight="1">
      <c r="A364" s="21">
        <v>46106</v>
      </c>
      <c r="B364" s="20" t="s">
        <v>128</v>
      </c>
      <c r="C364" s="20" t="s">
        <v>235</v>
      </c>
      <c r="D364" s="22">
        <v>24</v>
      </c>
      <c r="E364" s="22">
        <v>4000</v>
      </c>
      <c r="F364" s="22">
        <f t="shared" si="10"/>
        <v>96000</v>
      </c>
      <c r="G364" s="22">
        <v>46080</v>
      </c>
      <c r="H364" s="22">
        <f t="shared" si="11"/>
        <v>49920</v>
      </c>
      <c r="I364" s="20" t="s">
        <v>242</v>
      </c>
      <c r="J364" s="20" t="str">
        <f>TEXT(SalesHistory[[#This Row],[日付]],"yyyy-mm")</f>
        <v>2026-03</v>
      </c>
      <c r="K364" s="35">
        <f>YEAR(SalesHistory[[#This Row],[日付]])</f>
        <v>2026</v>
      </c>
      <c r="L364" s="35">
        <f>MONTH(SalesHistory[[#This Row],[日付]])</f>
        <v>3</v>
      </c>
    </row>
    <row r="365" spans="1:12" ht="24.95" customHeight="1">
      <c r="A365" s="21">
        <v>46117</v>
      </c>
      <c r="B365" s="20" t="s">
        <v>2</v>
      </c>
      <c r="C365" s="20" t="s">
        <v>56</v>
      </c>
      <c r="D365" s="22">
        <v>16</v>
      </c>
      <c r="E365" s="22">
        <v>50000</v>
      </c>
      <c r="F365" s="22">
        <f t="shared" si="10"/>
        <v>800000</v>
      </c>
      <c r="G365" s="22">
        <v>576000</v>
      </c>
      <c r="H365" s="22">
        <f t="shared" si="11"/>
        <v>224000</v>
      </c>
      <c r="I365" s="20" t="s">
        <v>242</v>
      </c>
      <c r="J365" s="20" t="str">
        <f>TEXT(SalesHistory[[#This Row],[日付]],"yyyy-mm")</f>
        <v>2026-04</v>
      </c>
      <c r="K365" s="35">
        <f>YEAR(SalesHistory[[#This Row],[日付]])</f>
        <v>2026</v>
      </c>
      <c r="L365" s="35">
        <f>MONTH(SalesHistory[[#This Row],[日付]])</f>
        <v>4</v>
      </c>
    </row>
    <row r="366" spans="1:12" ht="24.95" customHeight="1">
      <c r="A366" s="21">
        <v>46127</v>
      </c>
      <c r="B366" s="20" t="s">
        <v>2</v>
      </c>
      <c r="C366" s="20" t="s">
        <v>56</v>
      </c>
      <c r="D366" s="22">
        <v>4</v>
      </c>
      <c r="E366" s="22">
        <v>50000</v>
      </c>
      <c r="F366" s="22">
        <f t="shared" si="10"/>
        <v>200000</v>
      </c>
      <c r="G366" s="22">
        <v>144000</v>
      </c>
      <c r="H366" s="22">
        <f t="shared" si="11"/>
        <v>56000</v>
      </c>
      <c r="I366" s="20" t="s">
        <v>242</v>
      </c>
      <c r="J366" s="20" t="str">
        <f>TEXT(SalesHistory[[#This Row],[日付]],"yyyy-mm")</f>
        <v>2026-04</v>
      </c>
      <c r="K366" s="35">
        <f>YEAR(SalesHistory[[#This Row],[日付]])</f>
        <v>2026</v>
      </c>
      <c r="L366" s="35">
        <f>MONTH(SalesHistory[[#This Row],[日付]])</f>
        <v>4</v>
      </c>
    </row>
    <row r="367" spans="1:12" ht="24.95" customHeight="1">
      <c r="A367" s="21">
        <v>46137</v>
      </c>
      <c r="B367" s="20" t="s">
        <v>2</v>
      </c>
      <c r="C367" s="20" t="s">
        <v>56</v>
      </c>
      <c r="D367" s="22">
        <v>9</v>
      </c>
      <c r="E367" s="22">
        <v>50000</v>
      </c>
      <c r="F367" s="22">
        <f t="shared" si="10"/>
        <v>450000</v>
      </c>
      <c r="G367" s="22">
        <v>324000</v>
      </c>
      <c r="H367" s="22">
        <f t="shared" si="11"/>
        <v>126000</v>
      </c>
      <c r="I367" s="20" t="s">
        <v>242</v>
      </c>
      <c r="J367" s="20" t="str">
        <f>TEXT(SalesHistory[[#This Row],[日付]],"yyyy-mm")</f>
        <v>2026-04</v>
      </c>
      <c r="K367" s="35">
        <f>YEAR(SalesHistory[[#This Row],[日付]])</f>
        <v>2026</v>
      </c>
      <c r="L367" s="35">
        <f>MONTH(SalesHistory[[#This Row],[日付]])</f>
        <v>4</v>
      </c>
    </row>
    <row r="368" spans="1:12" ht="24.95" customHeight="1">
      <c r="A368" s="21">
        <v>46117</v>
      </c>
      <c r="B368" s="20" t="s">
        <v>2</v>
      </c>
      <c r="C368" s="20" t="s">
        <v>60</v>
      </c>
      <c r="D368" s="22">
        <v>2</v>
      </c>
      <c r="E368" s="22">
        <v>15000</v>
      </c>
      <c r="F368" s="22">
        <f t="shared" si="10"/>
        <v>30000</v>
      </c>
      <c r="G368" s="22">
        <v>14400</v>
      </c>
      <c r="H368" s="22">
        <f t="shared" si="11"/>
        <v>15600</v>
      </c>
      <c r="I368" s="20" t="s">
        <v>242</v>
      </c>
      <c r="J368" s="20" t="str">
        <f>TEXT(SalesHistory[[#This Row],[日付]],"yyyy-mm")</f>
        <v>2026-04</v>
      </c>
      <c r="K368" s="35">
        <f>YEAR(SalesHistory[[#This Row],[日付]])</f>
        <v>2026</v>
      </c>
      <c r="L368" s="35">
        <f>MONTH(SalesHistory[[#This Row],[日付]])</f>
        <v>4</v>
      </c>
    </row>
    <row r="369" spans="1:12" ht="24.95" customHeight="1">
      <c r="A369" s="21">
        <v>46127</v>
      </c>
      <c r="B369" s="20" t="s">
        <v>2</v>
      </c>
      <c r="C369" s="20" t="s">
        <v>60</v>
      </c>
      <c r="D369" s="22">
        <v>7</v>
      </c>
      <c r="E369" s="22">
        <v>15000</v>
      </c>
      <c r="F369" s="22">
        <f t="shared" si="10"/>
        <v>105000</v>
      </c>
      <c r="G369" s="22">
        <v>50400</v>
      </c>
      <c r="H369" s="22">
        <f t="shared" si="11"/>
        <v>54600</v>
      </c>
      <c r="I369" s="20" t="s">
        <v>242</v>
      </c>
      <c r="J369" s="20" t="str">
        <f>TEXT(SalesHistory[[#This Row],[日付]],"yyyy-mm")</f>
        <v>2026-04</v>
      </c>
      <c r="K369" s="35">
        <f>YEAR(SalesHistory[[#This Row],[日付]])</f>
        <v>2026</v>
      </c>
      <c r="L369" s="35">
        <f>MONTH(SalesHistory[[#This Row],[日付]])</f>
        <v>4</v>
      </c>
    </row>
    <row r="370" spans="1:12" ht="24.95" customHeight="1">
      <c r="A370" s="21">
        <v>46137</v>
      </c>
      <c r="B370" s="20" t="s">
        <v>2</v>
      </c>
      <c r="C370" s="20" t="s">
        <v>60</v>
      </c>
      <c r="D370" s="22">
        <v>12</v>
      </c>
      <c r="E370" s="22">
        <v>15000</v>
      </c>
      <c r="F370" s="22">
        <f t="shared" si="10"/>
        <v>180000</v>
      </c>
      <c r="G370" s="22">
        <v>86400</v>
      </c>
      <c r="H370" s="22">
        <f t="shared" si="11"/>
        <v>93600</v>
      </c>
      <c r="I370" s="20" t="s">
        <v>242</v>
      </c>
      <c r="J370" s="20" t="str">
        <f>TEXT(SalesHistory[[#This Row],[日付]],"yyyy-mm")</f>
        <v>2026-04</v>
      </c>
      <c r="K370" s="35">
        <f>YEAR(SalesHistory[[#This Row],[日付]])</f>
        <v>2026</v>
      </c>
      <c r="L370" s="35">
        <f>MONTH(SalesHistory[[#This Row],[日付]])</f>
        <v>4</v>
      </c>
    </row>
    <row r="371" spans="1:12" ht="24.95" customHeight="1">
      <c r="A371" s="21">
        <v>46117</v>
      </c>
      <c r="B371" s="20" t="s">
        <v>2</v>
      </c>
      <c r="C371" s="20" t="s">
        <v>231</v>
      </c>
      <c r="D371" s="22">
        <v>5</v>
      </c>
      <c r="E371" s="22">
        <v>35000</v>
      </c>
      <c r="F371" s="22">
        <f t="shared" si="10"/>
        <v>175000</v>
      </c>
      <c r="G371" s="22">
        <v>94500</v>
      </c>
      <c r="H371" s="22">
        <f t="shared" si="11"/>
        <v>80500</v>
      </c>
      <c r="I371" s="20" t="s">
        <v>242</v>
      </c>
      <c r="J371" s="20" t="str">
        <f>TEXT(SalesHistory[[#This Row],[日付]],"yyyy-mm")</f>
        <v>2026-04</v>
      </c>
      <c r="K371" s="35">
        <f>YEAR(SalesHistory[[#This Row],[日付]])</f>
        <v>2026</v>
      </c>
      <c r="L371" s="35">
        <f>MONTH(SalesHistory[[#This Row],[日付]])</f>
        <v>4</v>
      </c>
    </row>
    <row r="372" spans="1:12" ht="24.95" customHeight="1">
      <c r="A372" s="21">
        <v>46127</v>
      </c>
      <c r="B372" s="20" t="s">
        <v>2</v>
      </c>
      <c r="C372" s="20" t="s">
        <v>231</v>
      </c>
      <c r="D372" s="22">
        <v>10</v>
      </c>
      <c r="E372" s="22">
        <v>35000</v>
      </c>
      <c r="F372" s="22">
        <f t="shared" si="10"/>
        <v>350000</v>
      </c>
      <c r="G372" s="22">
        <v>189000</v>
      </c>
      <c r="H372" s="22">
        <f t="shared" si="11"/>
        <v>161000</v>
      </c>
      <c r="I372" s="20" t="s">
        <v>242</v>
      </c>
      <c r="J372" s="20" t="str">
        <f>TEXT(SalesHistory[[#This Row],[日付]],"yyyy-mm")</f>
        <v>2026-04</v>
      </c>
      <c r="K372" s="35">
        <f>YEAR(SalesHistory[[#This Row],[日付]])</f>
        <v>2026</v>
      </c>
      <c r="L372" s="35">
        <f>MONTH(SalesHistory[[#This Row],[日付]])</f>
        <v>4</v>
      </c>
    </row>
    <row r="373" spans="1:12" ht="24.95" customHeight="1">
      <c r="A373" s="21">
        <v>46137</v>
      </c>
      <c r="B373" s="20" t="s">
        <v>2</v>
      </c>
      <c r="C373" s="20" t="s">
        <v>231</v>
      </c>
      <c r="D373" s="22">
        <v>15</v>
      </c>
      <c r="E373" s="22">
        <v>35000</v>
      </c>
      <c r="F373" s="22">
        <f t="shared" si="10"/>
        <v>525000</v>
      </c>
      <c r="G373" s="22">
        <v>283500</v>
      </c>
      <c r="H373" s="22">
        <f t="shared" si="11"/>
        <v>241500</v>
      </c>
      <c r="I373" s="20" t="s">
        <v>242</v>
      </c>
      <c r="J373" s="20" t="str">
        <f>TEXT(SalesHistory[[#This Row],[日付]],"yyyy-mm")</f>
        <v>2026-04</v>
      </c>
      <c r="K373" s="35">
        <f>YEAR(SalesHistory[[#This Row],[日付]])</f>
        <v>2026</v>
      </c>
      <c r="L373" s="35">
        <f>MONTH(SalesHistory[[#This Row],[日付]])</f>
        <v>4</v>
      </c>
    </row>
    <row r="374" spans="1:12" ht="24.95" customHeight="1">
      <c r="A374" s="21">
        <v>46117</v>
      </c>
      <c r="B374" s="20" t="s">
        <v>2</v>
      </c>
      <c r="C374" s="20" t="s">
        <v>232</v>
      </c>
      <c r="D374" s="22">
        <v>8</v>
      </c>
      <c r="E374" s="22">
        <v>2500</v>
      </c>
      <c r="F374" s="22">
        <f t="shared" si="10"/>
        <v>20000</v>
      </c>
      <c r="G374" s="22">
        <v>12000</v>
      </c>
      <c r="H374" s="22">
        <f t="shared" si="11"/>
        <v>8000</v>
      </c>
      <c r="I374" s="20" t="s">
        <v>242</v>
      </c>
      <c r="J374" s="20" t="str">
        <f>TEXT(SalesHistory[[#This Row],[日付]],"yyyy-mm")</f>
        <v>2026-04</v>
      </c>
      <c r="K374" s="35">
        <f>YEAR(SalesHistory[[#This Row],[日付]])</f>
        <v>2026</v>
      </c>
      <c r="L374" s="35">
        <f>MONTH(SalesHistory[[#This Row],[日付]])</f>
        <v>4</v>
      </c>
    </row>
    <row r="375" spans="1:12" ht="24.95" customHeight="1">
      <c r="A375" s="21">
        <v>46127</v>
      </c>
      <c r="B375" s="20" t="s">
        <v>2</v>
      </c>
      <c r="C375" s="20" t="s">
        <v>232</v>
      </c>
      <c r="D375" s="22">
        <v>13</v>
      </c>
      <c r="E375" s="22">
        <v>2500</v>
      </c>
      <c r="F375" s="22">
        <f t="shared" si="10"/>
        <v>32500</v>
      </c>
      <c r="G375" s="22">
        <v>19500</v>
      </c>
      <c r="H375" s="22">
        <f t="shared" si="11"/>
        <v>13000</v>
      </c>
      <c r="I375" s="20" t="s">
        <v>242</v>
      </c>
      <c r="J375" s="20" t="str">
        <f>TEXT(SalesHistory[[#This Row],[日付]],"yyyy-mm")</f>
        <v>2026-04</v>
      </c>
      <c r="K375" s="35">
        <f>YEAR(SalesHistory[[#This Row],[日付]])</f>
        <v>2026</v>
      </c>
      <c r="L375" s="35">
        <f>MONTH(SalesHistory[[#This Row],[日付]])</f>
        <v>4</v>
      </c>
    </row>
    <row r="376" spans="1:12" ht="24.95" customHeight="1">
      <c r="A376" s="21">
        <v>46137</v>
      </c>
      <c r="B376" s="20" t="s">
        <v>2</v>
      </c>
      <c r="C376" s="20" t="s">
        <v>232</v>
      </c>
      <c r="D376" s="22">
        <v>18</v>
      </c>
      <c r="E376" s="22">
        <v>2500</v>
      </c>
      <c r="F376" s="22">
        <f t="shared" si="10"/>
        <v>45000</v>
      </c>
      <c r="G376" s="22">
        <v>27000</v>
      </c>
      <c r="H376" s="22">
        <f t="shared" si="11"/>
        <v>18000</v>
      </c>
      <c r="I376" s="20" t="s">
        <v>242</v>
      </c>
      <c r="J376" s="20" t="str">
        <f>TEXT(SalesHistory[[#This Row],[日付]],"yyyy-mm")</f>
        <v>2026-04</v>
      </c>
      <c r="K376" s="35">
        <f>YEAR(SalesHistory[[#This Row],[日付]])</f>
        <v>2026</v>
      </c>
      <c r="L376" s="35">
        <f>MONTH(SalesHistory[[#This Row],[日付]])</f>
        <v>4</v>
      </c>
    </row>
    <row r="377" spans="1:12" ht="24.95" customHeight="1">
      <c r="A377" s="21">
        <v>46117</v>
      </c>
      <c r="B377" s="20" t="s">
        <v>128</v>
      </c>
      <c r="C377" s="20" t="s">
        <v>148</v>
      </c>
      <c r="D377" s="22">
        <v>29</v>
      </c>
      <c r="E377" s="22">
        <v>2000</v>
      </c>
      <c r="F377" s="22">
        <f t="shared" si="10"/>
        <v>58000</v>
      </c>
      <c r="G377" s="22">
        <v>38280</v>
      </c>
      <c r="H377" s="22">
        <f t="shared" si="11"/>
        <v>19720</v>
      </c>
      <c r="I377" s="20" t="s">
        <v>242</v>
      </c>
      <c r="J377" s="20" t="str">
        <f>TEXT(SalesHistory[[#This Row],[日付]],"yyyy-mm")</f>
        <v>2026-04</v>
      </c>
      <c r="K377" s="35">
        <f>YEAR(SalesHistory[[#This Row],[日付]])</f>
        <v>2026</v>
      </c>
      <c r="L377" s="35">
        <f>MONTH(SalesHistory[[#This Row],[日付]])</f>
        <v>4</v>
      </c>
    </row>
    <row r="378" spans="1:12" ht="24.95" customHeight="1">
      <c r="A378" s="21">
        <v>46127</v>
      </c>
      <c r="B378" s="20" t="s">
        <v>128</v>
      </c>
      <c r="C378" s="20" t="s">
        <v>148</v>
      </c>
      <c r="D378" s="22">
        <v>34</v>
      </c>
      <c r="E378" s="22">
        <v>2000</v>
      </c>
      <c r="F378" s="22">
        <f t="shared" si="10"/>
        <v>68000</v>
      </c>
      <c r="G378" s="22">
        <v>44880</v>
      </c>
      <c r="H378" s="22">
        <f t="shared" si="11"/>
        <v>23120</v>
      </c>
      <c r="I378" s="20" t="s">
        <v>242</v>
      </c>
      <c r="J378" s="20" t="str">
        <f>TEXT(SalesHistory[[#This Row],[日付]],"yyyy-mm")</f>
        <v>2026-04</v>
      </c>
      <c r="K378" s="35">
        <f>YEAR(SalesHistory[[#This Row],[日付]])</f>
        <v>2026</v>
      </c>
      <c r="L378" s="35">
        <f>MONTH(SalesHistory[[#This Row],[日付]])</f>
        <v>4</v>
      </c>
    </row>
    <row r="379" spans="1:12" ht="24.95" customHeight="1">
      <c r="A379" s="21">
        <v>46137</v>
      </c>
      <c r="B379" s="20" t="s">
        <v>128</v>
      </c>
      <c r="C379" s="20" t="s">
        <v>148</v>
      </c>
      <c r="D379" s="22">
        <v>22</v>
      </c>
      <c r="E379" s="22">
        <v>2000</v>
      </c>
      <c r="F379" s="22">
        <f t="shared" si="10"/>
        <v>44000</v>
      </c>
      <c r="G379" s="22">
        <v>29040</v>
      </c>
      <c r="H379" s="22">
        <f t="shared" si="11"/>
        <v>14960</v>
      </c>
      <c r="I379" s="20" t="s">
        <v>242</v>
      </c>
      <c r="J379" s="20" t="str">
        <f>TEXT(SalesHistory[[#This Row],[日付]],"yyyy-mm")</f>
        <v>2026-04</v>
      </c>
      <c r="K379" s="35">
        <f>YEAR(SalesHistory[[#This Row],[日付]])</f>
        <v>2026</v>
      </c>
      <c r="L379" s="35">
        <f>MONTH(SalesHistory[[#This Row],[日付]])</f>
        <v>4</v>
      </c>
    </row>
    <row r="380" spans="1:12" ht="24.95" customHeight="1">
      <c r="A380" s="21">
        <v>46117</v>
      </c>
      <c r="B380" s="20" t="s">
        <v>128</v>
      </c>
      <c r="C380" s="20" t="s">
        <v>233</v>
      </c>
      <c r="D380" s="22">
        <v>32</v>
      </c>
      <c r="E380" s="22">
        <v>1800</v>
      </c>
      <c r="F380" s="22">
        <f t="shared" si="10"/>
        <v>57600</v>
      </c>
      <c r="G380" s="22">
        <v>41472</v>
      </c>
      <c r="H380" s="22">
        <f t="shared" si="11"/>
        <v>16128</v>
      </c>
      <c r="I380" s="20" t="s">
        <v>242</v>
      </c>
      <c r="J380" s="20" t="str">
        <f>TEXT(SalesHistory[[#This Row],[日付]],"yyyy-mm")</f>
        <v>2026-04</v>
      </c>
      <c r="K380" s="35">
        <f>YEAR(SalesHistory[[#This Row],[日付]])</f>
        <v>2026</v>
      </c>
      <c r="L380" s="35">
        <f>MONTH(SalesHistory[[#This Row],[日付]])</f>
        <v>4</v>
      </c>
    </row>
    <row r="381" spans="1:12" ht="24.95" customHeight="1">
      <c r="A381" s="21">
        <v>46127</v>
      </c>
      <c r="B381" s="20" t="s">
        <v>128</v>
      </c>
      <c r="C381" s="20" t="s">
        <v>233</v>
      </c>
      <c r="D381" s="22">
        <v>20</v>
      </c>
      <c r="E381" s="22">
        <v>1800</v>
      </c>
      <c r="F381" s="22">
        <f t="shared" si="10"/>
        <v>36000</v>
      </c>
      <c r="G381" s="22">
        <v>25920</v>
      </c>
      <c r="H381" s="22">
        <f t="shared" si="11"/>
        <v>10080</v>
      </c>
      <c r="I381" s="20" t="s">
        <v>242</v>
      </c>
      <c r="J381" s="20" t="str">
        <f>TEXT(SalesHistory[[#This Row],[日付]],"yyyy-mm")</f>
        <v>2026-04</v>
      </c>
      <c r="K381" s="35">
        <f>YEAR(SalesHistory[[#This Row],[日付]])</f>
        <v>2026</v>
      </c>
      <c r="L381" s="35">
        <f>MONTH(SalesHistory[[#This Row],[日付]])</f>
        <v>4</v>
      </c>
    </row>
    <row r="382" spans="1:12" ht="24.95" customHeight="1">
      <c r="A382" s="21">
        <v>46137</v>
      </c>
      <c r="B382" s="20" t="s">
        <v>128</v>
      </c>
      <c r="C382" s="20" t="s">
        <v>233</v>
      </c>
      <c r="D382" s="22">
        <v>25</v>
      </c>
      <c r="E382" s="22">
        <v>1800</v>
      </c>
      <c r="F382" s="22">
        <f t="shared" si="10"/>
        <v>45000</v>
      </c>
      <c r="G382" s="22">
        <v>32400</v>
      </c>
      <c r="H382" s="22">
        <f t="shared" si="11"/>
        <v>12600</v>
      </c>
      <c r="I382" s="20" t="s">
        <v>242</v>
      </c>
      <c r="J382" s="20" t="str">
        <f>TEXT(SalesHistory[[#This Row],[日付]],"yyyy-mm")</f>
        <v>2026-04</v>
      </c>
      <c r="K382" s="35">
        <f>YEAR(SalesHistory[[#This Row],[日付]])</f>
        <v>2026</v>
      </c>
      <c r="L382" s="35">
        <f>MONTH(SalesHistory[[#This Row],[日付]])</f>
        <v>4</v>
      </c>
    </row>
    <row r="383" spans="1:12" ht="24.95" customHeight="1">
      <c r="A383" s="21">
        <v>46117</v>
      </c>
      <c r="B383" s="20" t="s">
        <v>128</v>
      </c>
      <c r="C383" s="20" t="s">
        <v>234</v>
      </c>
      <c r="D383" s="22">
        <v>35</v>
      </c>
      <c r="E383" s="22">
        <v>3200</v>
      </c>
      <c r="F383" s="22">
        <f t="shared" si="10"/>
        <v>112000</v>
      </c>
      <c r="G383" s="22">
        <v>53760</v>
      </c>
      <c r="H383" s="22">
        <f t="shared" si="11"/>
        <v>58240</v>
      </c>
      <c r="I383" s="20" t="s">
        <v>242</v>
      </c>
      <c r="J383" s="20" t="str">
        <f>TEXT(SalesHistory[[#This Row],[日付]],"yyyy-mm")</f>
        <v>2026-04</v>
      </c>
      <c r="K383" s="35">
        <f>YEAR(SalesHistory[[#This Row],[日付]])</f>
        <v>2026</v>
      </c>
      <c r="L383" s="35">
        <f>MONTH(SalesHistory[[#This Row],[日付]])</f>
        <v>4</v>
      </c>
    </row>
    <row r="384" spans="1:12" ht="24.95" customHeight="1">
      <c r="A384" s="21">
        <v>46127</v>
      </c>
      <c r="B384" s="20" t="s">
        <v>128</v>
      </c>
      <c r="C384" s="20" t="s">
        <v>234</v>
      </c>
      <c r="D384" s="22">
        <v>23</v>
      </c>
      <c r="E384" s="22">
        <v>3200</v>
      </c>
      <c r="F384" s="22">
        <f t="shared" si="10"/>
        <v>73600</v>
      </c>
      <c r="G384" s="22">
        <v>35328</v>
      </c>
      <c r="H384" s="22">
        <f t="shared" si="11"/>
        <v>38272</v>
      </c>
      <c r="I384" s="20" t="s">
        <v>242</v>
      </c>
      <c r="J384" s="20" t="str">
        <f>TEXT(SalesHistory[[#This Row],[日付]],"yyyy-mm")</f>
        <v>2026-04</v>
      </c>
      <c r="K384" s="35">
        <f>YEAR(SalesHistory[[#This Row],[日付]])</f>
        <v>2026</v>
      </c>
      <c r="L384" s="35">
        <f>MONTH(SalesHistory[[#This Row],[日付]])</f>
        <v>4</v>
      </c>
    </row>
    <row r="385" spans="1:12" ht="24.95" customHeight="1">
      <c r="A385" s="21">
        <v>46137</v>
      </c>
      <c r="B385" s="20" t="s">
        <v>128</v>
      </c>
      <c r="C385" s="20" t="s">
        <v>234</v>
      </c>
      <c r="D385" s="22">
        <v>28</v>
      </c>
      <c r="E385" s="22">
        <v>3200</v>
      </c>
      <c r="F385" s="22">
        <f t="shared" si="10"/>
        <v>89600</v>
      </c>
      <c r="G385" s="22">
        <v>43008</v>
      </c>
      <c r="H385" s="22">
        <f t="shared" si="11"/>
        <v>46592</v>
      </c>
      <c r="I385" s="20" t="s">
        <v>242</v>
      </c>
      <c r="J385" s="20" t="str">
        <f>TEXT(SalesHistory[[#This Row],[日付]],"yyyy-mm")</f>
        <v>2026-04</v>
      </c>
      <c r="K385" s="35">
        <f>YEAR(SalesHistory[[#This Row],[日付]])</f>
        <v>2026</v>
      </c>
      <c r="L385" s="35">
        <f>MONTH(SalesHistory[[#This Row],[日付]])</f>
        <v>4</v>
      </c>
    </row>
    <row r="386" spans="1:12" ht="24.95" customHeight="1">
      <c r="A386" s="21">
        <v>46117</v>
      </c>
      <c r="B386" s="20" t="s">
        <v>128</v>
      </c>
      <c r="C386" s="20" t="s">
        <v>235</v>
      </c>
      <c r="D386" s="22">
        <v>21</v>
      </c>
      <c r="E386" s="22">
        <v>4000</v>
      </c>
      <c r="F386" s="22">
        <f t="shared" si="10"/>
        <v>84000</v>
      </c>
      <c r="G386" s="22">
        <v>45360</v>
      </c>
      <c r="H386" s="22">
        <f t="shared" si="11"/>
        <v>38640</v>
      </c>
      <c r="I386" s="20" t="s">
        <v>242</v>
      </c>
      <c r="J386" s="20" t="str">
        <f>TEXT(SalesHistory[[#This Row],[日付]],"yyyy-mm")</f>
        <v>2026-04</v>
      </c>
      <c r="K386" s="35">
        <f>YEAR(SalesHistory[[#This Row],[日付]])</f>
        <v>2026</v>
      </c>
      <c r="L386" s="35">
        <f>MONTH(SalesHistory[[#This Row],[日付]])</f>
        <v>4</v>
      </c>
    </row>
    <row r="387" spans="1:12" ht="24.95" customHeight="1">
      <c r="A387" s="21">
        <v>46127</v>
      </c>
      <c r="B387" s="20" t="s">
        <v>128</v>
      </c>
      <c r="C387" s="20" t="s">
        <v>235</v>
      </c>
      <c r="D387" s="22">
        <v>26</v>
      </c>
      <c r="E387" s="22">
        <v>4000</v>
      </c>
      <c r="F387" s="22">
        <f t="shared" si="10"/>
        <v>104000</v>
      </c>
      <c r="G387" s="22">
        <v>56160</v>
      </c>
      <c r="H387" s="22">
        <f t="shared" si="11"/>
        <v>47840</v>
      </c>
      <c r="I387" s="20" t="s">
        <v>242</v>
      </c>
      <c r="J387" s="20" t="str">
        <f>TEXT(SalesHistory[[#This Row],[日付]],"yyyy-mm")</f>
        <v>2026-04</v>
      </c>
      <c r="K387" s="35">
        <f>YEAR(SalesHistory[[#This Row],[日付]])</f>
        <v>2026</v>
      </c>
      <c r="L387" s="35">
        <f>MONTH(SalesHistory[[#This Row],[日付]])</f>
        <v>4</v>
      </c>
    </row>
    <row r="388" spans="1:12" ht="24.95" customHeight="1">
      <c r="A388" s="21">
        <v>46137</v>
      </c>
      <c r="B388" s="20" t="s">
        <v>128</v>
      </c>
      <c r="C388" s="20" t="s">
        <v>235</v>
      </c>
      <c r="D388" s="22">
        <v>31</v>
      </c>
      <c r="E388" s="22">
        <v>4000</v>
      </c>
      <c r="F388" s="22">
        <f t="shared" si="10"/>
        <v>124000</v>
      </c>
      <c r="G388" s="22">
        <v>66960</v>
      </c>
      <c r="H388" s="22">
        <f t="shared" si="11"/>
        <v>57040</v>
      </c>
      <c r="I388" s="20" t="s">
        <v>242</v>
      </c>
      <c r="J388" s="20" t="str">
        <f>TEXT(SalesHistory[[#This Row],[日付]],"yyyy-mm")</f>
        <v>2026-04</v>
      </c>
      <c r="K388" s="35">
        <f>YEAR(SalesHistory[[#This Row],[日付]])</f>
        <v>2026</v>
      </c>
      <c r="L388" s="35">
        <f>MONTH(SalesHistory[[#This Row],[日付]])</f>
        <v>4</v>
      </c>
    </row>
    <row r="389" spans="1:12" ht="24.95" customHeight="1">
      <c r="A389" s="21">
        <v>46147</v>
      </c>
      <c r="B389" s="20" t="s">
        <v>2</v>
      </c>
      <c r="C389" s="20" t="s">
        <v>56</v>
      </c>
      <c r="D389" s="22">
        <v>6</v>
      </c>
      <c r="E389" s="22">
        <v>50000</v>
      </c>
      <c r="F389" s="22">
        <f t="shared" ref="F389:F452" si="12">ROUND(D389*E389,0)</f>
        <v>300000</v>
      </c>
      <c r="G389" s="22">
        <v>144000</v>
      </c>
      <c r="H389" s="22">
        <f t="shared" ref="H389:H452" si="13">F389-G389</f>
        <v>156000</v>
      </c>
      <c r="I389" s="20" t="s">
        <v>242</v>
      </c>
      <c r="J389" s="20" t="str">
        <f>TEXT(SalesHistory[[#This Row],[日付]],"yyyy-mm")</f>
        <v>2026-05</v>
      </c>
      <c r="K389" s="35">
        <f>YEAR(SalesHistory[[#This Row],[日付]])</f>
        <v>2026</v>
      </c>
      <c r="L389" s="35">
        <f>MONTH(SalesHistory[[#This Row],[日付]])</f>
        <v>5</v>
      </c>
    </row>
    <row r="390" spans="1:12" ht="24.95" customHeight="1">
      <c r="A390" s="21">
        <v>46157</v>
      </c>
      <c r="B390" s="20" t="s">
        <v>2</v>
      </c>
      <c r="C390" s="20" t="s">
        <v>56</v>
      </c>
      <c r="D390" s="22">
        <v>11</v>
      </c>
      <c r="E390" s="22">
        <v>50000</v>
      </c>
      <c r="F390" s="22">
        <f t="shared" si="12"/>
        <v>550000</v>
      </c>
      <c r="G390" s="22">
        <v>264000</v>
      </c>
      <c r="H390" s="22">
        <f t="shared" si="13"/>
        <v>286000</v>
      </c>
      <c r="I390" s="20" t="s">
        <v>242</v>
      </c>
      <c r="J390" s="20" t="str">
        <f>TEXT(SalesHistory[[#This Row],[日付]],"yyyy-mm")</f>
        <v>2026-05</v>
      </c>
      <c r="K390" s="35">
        <f>YEAR(SalesHistory[[#This Row],[日付]])</f>
        <v>2026</v>
      </c>
      <c r="L390" s="35">
        <f>MONTH(SalesHistory[[#This Row],[日付]])</f>
        <v>5</v>
      </c>
    </row>
    <row r="391" spans="1:12" ht="24.95" customHeight="1">
      <c r="A391" s="21">
        <v>46167</v>
      </c>
      <c r="B391" s="20" t="s">
        <v>2</v>
      </c>
      <c r="C391" s="20" t="s">
        <v>56</v>
      </c>
      <c r="D391" s="22">
        <v>16</v>
      </c>
      <c r="E391" s="22">
        <v>50000</v>
      </c>
      <c r="F391" s="22">
        <f t="shared" si="12"/>
        <v>800000</v>
      </c>
      <c r="G391" s="22">
        <v>384000</v>
      </c>
      <c r="H391" s="22">
        <f t="shared" si="13"/>
        <v>416000</v>
      </c>
      <c r="I391" s="20" t="s">
        <v>242</v>
      </c>
      <c r="J391" s="20" t="str">
        <f>TEXT(SalesHistory[[#This Row],[日付]],"yyyy-mm")</f>
        <v>2026-05</v>
      </c>
      <c r="K391" s="35">
        <f>YEAR(SalesHistory[[#This Row],[日付]])</f>
        <v>2026</v>
      </c>
      <c r="L391" s="35">
        <f>MONTH(SalesHistory[[#This Row],[日付]])</f>
        <v>5</v>
      </c>
    </row>
    <row r="392" spans="1:12" ht="24.95" customHeight="1">
      <c r="A392" s="21">
        <v>46147</v>
      </c>
      <c r="B392" s="20" t="s">
        <v>2</v>
      </c>
      <c r="C392" s="20" t="s">
        <v>60</v>
      </c>
      <c r="D392" s="22">
        <v>9</v>
      </c>
      <c r="E392" s="22">
        <v>15000</v>
      </c>
      <c r="F392" s="22">
        <f t="shared" si="12"/>
        <v>135000</v>
      </c>
      <c r="G392" s="22">
        <v>72900</v>
      </c>
      <c r="H392" s="22">
        <f t="shared" si="13"/>
        <v>62100</v>
      </c>
      <c r="I392" s="20" t="s">
        <v>242</v>
      </c>
      <c r="J392" s="20" t="str">
        <f>TEXT(SalesHistory[[#This Row],[日付]],"yyyy-mm")</f>
        <v>2026-05</v>
      </c>
      <c r="K392" s="35">
        <f>YEAR(SalesHistory[[#This Row],[日付]])</f>
        <v>2026</v>
      </c>
      <c r="L392" s="35">
        <f>MONTH(SalesHistory[[#This Row],[日付]])</f>
        <v>5</v>
      </c>
    </row>
    <row r="393" spans="1:12" ht="24.95" customHeight="1">
      <c r="A393" s="21">
        <v>46157</v>
      </c>
      <c r="B393" s="20" t="s">
        <v>2</v>
      </c>
      <c r="C393" s="20" t="s">
        <v>60</v>
      </c>
      <c r="D393" s="22">
        <v>14</v>
      </c>
      <c r="E393" s="22">
        <v>15000</v>
      </c>
      <c r="F393" s="22">
        <f t="shared" si="12"/>
        <v>210000</v>
      </c>
      <c r="G393" s="22">
        <v>113400</v>
      </c>
      <c r="H393" s="22">
        <f t="shared" si="13"/>
        <v>96600</v>
      </c>
      <c r="I393" s="20" t="s">
        <v>242</v>
      </c>
      <c r="J393" s="20" t="str">
        <f>TEXT(SalesHistory[[#This Row],[日付]],"yyyy-mm")</f>
        <v>2026-05</v>
      </c>
      <c r="K393" s="35">
        <f>YEAR(SalesHistory[[#This Row],[日付]])</f>
        <v>2026</v>
      </c>
      <c r="L393" s="35">
        <f>MONTH(SalesHistory[[#This Row],[日付]])</f>
        <v>5</v>
      </c>
    </row>
    <row r="394" spans="1:12" ht="24.95" customHeight="1">
      <c r="A394" s="21">
        <v>46167</v>
      </c>
      <c r="B394" s="20" t="s">
        <v>2</v>
      </c>
      <c r="C394" s="20" t="s">
        <v>60</v>
      </c>
      <c r="D394" s="22">
        <v>2</v>
      </c>
      <c r="E394" s="22">
        <v>15000</v>
      </c>
      <c r="F394" s="22">
        <f t="shared" si="12"/>
        <v>30000</v>
      </c>
      <c r="G394" s="22">
        <v>16200</v>
      </c>
      <c r="H394" s="22">
        <f t="shared" si="13"/>
        <v>13800</v>
      </c>
      <c r="I394" s="20" t="s">
        <v>242</v>
      </c>
      <c r="J394" s="20" t="str">
        <f>TEXT(SalesHistory[[#This Row],[日付]],"yyyy-mm")</f>
        <v>2026-05</v>
      </c>
      <c r="K394" s="35">
        <f>YEAR(SalesHistory[[#This Row],[日付]])</f>
        <v>2026</v>
      </c>
      <c r="L394" s="35">
        <f>MONTH(SalesHistory[[#This Row],[日付]])</f>
        <v>5</v>
      </c>
    </row>
    <row r="395" spans="1:12" ht="24.95" customHeight="1">
      <c r="A395" s="21">
        <v>46147</v>
      </c>
      <c r="B395" s="20" t="s">
        <v>2</v>
      </c>
      <c r="C395" s="20" t="s">
        <v>231</v>
      </c>
      <c r="D395" s="22">
        <v>12</v>
      </c>
      <c r="E395" s="22">
        <v>35000</v>
      </c>
      <c r="F395" s="22">
        <f t="shared" si="12"/>
        <v>420000</v>
      </c>
      <c r="G395" s="22">
        <v>252000</v>
      </c>
      <c r="H395" s="22">
        <f t="shared" si="13"/>
        <v>168000</v>
      </c>
      <c r="I395" s="20" t="s">
        <v>242</v>
      </c>
      <c r="J395" s="20" t="str">
        <f>TEXT(SalesHistory[[#This Row],[日付]],"yyyy-mm")</f>
        <v>2026-05</v>
      </c>
      <c r="K395" s="35">
        <f>YEAR(SalesHistory[[#This Row],[日付]])</f>
        <v>2026</v>
      </c>
      <c r="L395" s="35">
        <f>MONTH(SalesHistory[[#This Row],[日付]])</f>
        <v>5</v>
      </c>
    </row>
    <row r="396" spans="1:12" ht="24.95" customHeight="1">
      <c r="A396" s="21">
        <v>46157</v>
      </c>
      <c r="B396" s="20" t="s">
        <v>2</v>
      </c>
      <c r="C396" s="20" t="s">
        <v>231</v>
      </c>
      <c r="D396" s="22">
        <v>17</v>
      </c>
      <c r="E396" s="22">
        <v>35000</v>
      </c>
      <c r="F396" s="22">
        <f t="shared" si="12"/>
        <v>595000</v>
      </c>
      <c r="G396" s="22">
        <v>357000</v>
      </c>
      <c r="H396" s="22">
        <f t="shared" si="13"/>
        <v>238000</v>
      </c>
      <c r="I396" s="20" t="s">
        <v>242</v>
      </c>
      <c r="J396" s="20" t="str">
        <f>TEXT(SalesHistory[[#This Row],[日付]],"yyyy-mm")</f>
        <v>2026-05</v>
      </c>
      <c r="K396" s="35">
        <f>YEAR(SalesHistory[[#This Row],[日付]])</f>
        <v>2026</v>
      </c>
      <c r="L396" s="35">
        <f>MONTH(SalesHistory[[#This Row],[日付]])</f>
        <v>5</v>
      </c>
    </row>
    <row r="397" spans="1:12" ht="24.95" customHeight="1">
      <c r="A397" s="21">
        <v>46167</v>
      </c>
      <c r="B397" s="20" t="s">
        <v>2</v>
      </c>
      <c r="C397" s="20" t="s">
        <v>231</v>
      </c>
      <c r="D397" s="22">
        <v>5</v>
      </c>
      <c r="E397" s="22">
        <v>35000</v>
      </c>
      <c r="F397" s="22">
        <f t="shared" si="12"/>
        <v>175000</v>
      </c>
      <c r="G397" s="22">
        <v>105000</v>
      </c>
      <c r="H397" s="22">
        <f t="shared" si="13"/>
        <v>70000</v>
      </c>
      <c r="I397" s="20" t="s">
        <v>242</v>
      </c>
      <c r="J397" s="20" t="str">
        <f>TEXT(SalesHistory[[#This Row],[日付]],"yyyy-mm")</f>
        <v>2026-05</v>
      </c>
      <c r="K397" s="35">
        <f>YEAR(SalesHistory[[#This Row],[日付]])</f>
        <v>2026</v>
      </c>
      <c r="L397" s="35">
        <f>MONTH(SalesHistory[[#This Row],[日付]])</f>
        <v>5</v>
      </c>
    </row>
    <row r="398" spans="1:12" ht="24.95" customHeight="1">
      <c r="A398" s="21">
        <v>46147</v>
      </c>
      <c r="B398" s="20" t="s">
        <v>2</v>
      </c>
      <c r="C398" s="20" t="s">
        <v>232</v>
      </c>
      <c r="D398" s="22">
        <v>15</v>
      </c>
      <c r="E398" s="22">
        <v>2500</v>
      </c>
      <c r="F398" s="22">
        <f t="shared" si="12"/>
        <v>37500</v>
      </c>
      <c r="G398" s="22">
        <v>24750</v>
      </c>
      <c r="H398" s="22">
        <f t="shared" si="13"/>
        <v>12750</v>
      </c>
      <c r="I398" s="20" t="s">
        <v>242</v>
      </c>
      <c r="J398" s="20" t="str">
        <f>TEXT(SalesHistory[[#This Row],[日付]],"yyyy-mm")</f>
        <v>2026-05</v>
      </c>
      <c r="K398" s="35">
        <f>YEAR(SalesHistory[[#This Row],[日付]])</f>
        <v>2026</v>
      </c>
      <c r="L398" s="35">
        <f>MONTH(SalesHistory[[#This Row],[日付]])</f>
        <v>5</v>
      </c>
    </row>
    <row r="399" spans="1:12" ht="24.95" customHeight="1">
      <c r="A399" s="21">
        <v>46157</v>
      </c>
      <c r="B399" s="20" t="s">
        <v>2</v>
      </c>
      <c r="C399" s="20" t="s">
        <v>232</v>
      </c>
      <c r="D399" s="22">
        <v>3</v>
      </c>
      <c r="E399" s="22">
        <v>2500</v>
      </c>
      <c r="F399" s="22">
        <f t="shared" si="12"/>
        <v>7500</v>
      </c>
      <c r="G399" s="22">
        <v>4950</v>
      </c>
      <c r="H399" s="22">
        <f t="shared" si="13"/>
        <v>2550</v>
      </c>
      <c r="I399" s="20" t="s">
        <v>242</v>
      </c>
      <c r="J399" s="20" t="str">
        <f>TEXT(SalesHistory[[#This Row],[日付]],"yyyy-mm")</f>
        <v>2026-05</v>
      </c>
      <c r="K399" s="35">
        <f>YEAR(SalesHistory[[#This Row],[日付]])</f>
        <v>2026</v>
      </c>
      <c r="L399" s="35">
        <f>MONTH(SalesHistory[[#This Row],[日付]])</f>
        <v>5</v>
      </c>
    </row>
    <row r="400" spans="1:12" ht="24.95" customHeight="1">
      <c r="A400" s="21">
        <v>46167</v>
      </c>
      <c r="B400" s="20" t="s">
        <v>2</v>
      </c>
      <c r="C400" s="20" t="s">
        <v>232</v>
      </c>
      <c r="D400" s="22">
        <v>8</v>
      </c>
      <c r="E400" s="22">
        <v>2500</v>
      </c>
      <c r="F400" s="22">
        <f t="shared" si="12"/>
        <v>20000</v>
      </c>
      <c r="G400" s="22">
        <v>13200</v>
      </c>
      <c r="H400" s="22">
        <f t="shared" si="13"/>
        <v>6800</v>
      </c>
      <c r="I400" s="20" t="s">
        <v>242</v>
      </c>
      <c r="J400" s="20" t="str">
        <f>TEXT(SalesHistory[[#This Row],[日付]],"yyyy-mm")</f>
        <v>2026-05</v>
      </c>
      <c r="K400" s="35">
        <f>YEAR(SalesHistory[[#This Row],[日付]])</f>
        <v>2026</v>
      </c>
      <c r="L400" s="35">
        <f>MONTH(SalesHistory[[#This Row],[日付]])</f>
        <v>5</v>
      </c>
    </row>
    <row r="401" spans="1:12" ht="24.95" customHeight="1">
      <c r="A401" s="21">
        <v>46147</v>
      </c>
      <c r="B401" s="20" t="s">
        <v>128</v>
      </c>
      <c r="C401" s="20" t="s">
        <v>148</v>
      </c>
      <c r="D401" s="22">
        <v>36</v>
      </c>
      <c r="E401" s="22">
        <v>2000</v>
      </c>
      <c r="F401" s="22">
        <f t="shared" si="12"/>
        <v>72000</v>
      </c>
      <c r="G401" s="22">
        <v>51840</v>
      </c>
      <c r="H401" s="22">
        <f t="shared" si="13"/>
        <v>20160</v>
      </c>
      <c r="I401" s="20" t="s">
        <v>242</v>
      </c>
      <c r="J401" s="20" t="str">
        <f>TEXT(SalesHistory[[#This Row],[日付]],"yyyy-mm")</f>
        <v>2026-05</v>
      </c>
      <c r="K401" s="35">
        <f>YEAR(SalesHistory[[#This Row],[日付]])</f>
        <v>2026</v>
      </c>
      <c r="L401" s="35">
        <f>MONTH(SalesHistory[[#This Row],[日付]])</f>
        <v>5</v>
      </c>
    </row>
    <row r="402" spans="1:12" ht="24.95" customHeight="1">
      <c r="A402" s="21">
        <v>46157</v>
      </c>
      <c r="B402" s="20" t="s">
        <v>128</v>
      </c>
      <c r="C402" s="20" t="s">
        <v>148</v>
      </c>
      <c r="D402" s="22">
        <v>24</v>
      </c>
      <c r="E402" s="22">
        <v>2000</v>
      </c>
      <c r="F402" s="22">
        <f t="shared" si="12"/>
        <v>48000</v>
      </c>
      <c r="G402" s="22">
        <v>34560</v>
      </c>
      <c r="H402" s="22">
        <f t="shared" si="13"/>
        <v>13440</v>
      </c>
      <c r="I402" s="20" t="s">
        <v>242</v>
      </c>
      <c r="J402" s="20" t="str">
        <f>TEXT(SalesHistory[[#This Row],[日付]],"yyyy-mm")</f>
        <v>2026-05</v>
      </c>
      <c r="K402" s="35">
        <f>YEAR(SalesHistory[[#This Row],[日付]])</f>
        <v>2026</v>
      </c>
      <c r="L402" s="35">
        <f>MONTH(SalesHistory[[#This Row],[日付]])</f>
        <v>5</v>
      </c>
    </row>
    <row r="403" spans="1:12" ht="24.95" customHeight="1">
      <c r="A403" s="21">
        <v>46167</v>
      </c>
      <c r="B403" s="20" t="s">
        <v>128</v>
      </c>
      <c r="C403" s="20" t="s">
        <v>148</v>
      </c>
      <c r="D403" s="22">
        <v>29</v>
      </c>
      <c r="E403" s="22">
        <v>2000</v>
      </c>
      <c r="F403" s="22">
        <f t="shared" si="12"/>
        <v>58000</v>
      </c>
      <c r="G403" s="22">
        <v>41760</v>
      </c>
      <c r="H403" s="22">
        <f t="shared" si="13"/>
        <v>16240</v>
      </c>
      <c r="I403" s="20" t="s">
        <v>242</v>
      </c>
      <c r="J403" s="20" t="str">
        <f>TEXT(SalesHistory[[#This Row],[日付]],"yyyy-mm")</f>
        <v>2026-05</v>
      </c>
      <c r="K403" s="35">
        <f>YEAR(SalesHistory[[#This Row],[日付]])</f>
        <v>2026</v>
      </c>
      <c r="L403" s="35">
        <f>MONTH(SalesHistory[[#This Row],[日付]])</f>
        <v>5</v>
      </c>
    </row>
    <row r="404" spans="1:12" ht="24.95" customHeight="1">
      <c r="A404" s="21">
        <v>46147</v>
      </c>
      <c r="B404" s="20" t="s">
        <v>128</v>
      </c>
      <c r="C404" s="20" t="s">
        <v>233</v>
      </c>
      <c r="D404" s="22">
        <v>22</v>
      </c>
      <c r="E404" s="22">
        <v>1800</v>
      </c>
      <c r="F404" s="22">
        <f t="shared" si="12"/>
        <v>39600</v>
      </c>
      <c r="G404" s="22">
        <v>19008</v>
      </c>
      <c r="H404" s="22">
        <f t="shared" si="13"/>
        <v>20592</v>
      </c>
      <c r="I404" s="20" t="s">
        <v>242</v>
      </c>
      <c r="J404" s="20" t="str">
        <f>TEXT(SalesHistory[[#This Row],[日付]],"yyyy-mm")</f>
        <v>2026-05</v>
      </c>
      <c r="K404" s="35">
        <f>YEAR(SalesHistory[[#This Row],[日付]])</f>
        <v>2026</v>
      </c>
      <c r="L404" s="35">
        <f>MONTH(SalesHistory[[#This Row],[日付]])</f>
        <v>5</v>
      </c>
    </row>
    <row r="405" spans="1:12" ht="24.95" customHeight="1">
      <c r="A405" s="21">
        <v>46157</v>
      </c>
      <c r="B405" s="20" t="s">
        <v>128</v>
      </c>
      <c r="C405" s="20" t="s">
        <v>233</v>
      </c>
      <c r="D405" s="22">
        <v>27</v>
      </c>
      <c r="E405" s="22">
        <v>1800</v>
      </c>
      <c r="F405" s="22">
        <f t="shared" si="12"/>
        <v>48600</v>
      </c>
      <c r="G405" s="22">
        <v>23328</v>
      </c>
      <c r="H405" s="22">
        <f t="shared" si="13"/>
        <v>25272</v>
      </c>
      <c r="I405" s="20" t="s">
        <v>242</v>
      </c>
      <c r="J405" s="20" t="str">
        <f>TEXT(SalesHistory[[#This Row],[日付]],"yyyy-mm")</f>
        <v>2026-05</v>
      </c>
      <c r="K405" s="35">
        <f>YEAR(SalesHistory[[#This Row],[日付]])</f>
        <v>2026</v>
      </c>
      <c r="L405" s="35">
        <f>MONTH(SalesHistory[[#This Row],[日付]])</f>
        <v>5</v>
      </c>
    </row>
    <row r="406" spans="1:12" ht="24.95" customHeight="1">
      <c r="A406" s="21">
        <v>46167</v>
      </c>
      <c r="B406" s="20" t="s">
        <v>128</v>
      </c>
      <c r="C406" s="20" t="s">
        <v>233</v>
      </c>
      <c r="D406" s="22">
        <v>32</v>
      </c>
      <c r="E406" s="22">
        <v>1800</v>
      </c>
      <c r="F406" s="22">
        <f t="shared" si="12"/>
        <v>57600</v>
      </c>
      <c r="G406" s="22">
        <v>27648</v>
      </c>
      <c r="H406" s="22">
        <f t="shared" si="13"/>
        <v>29952</v>
      </c>
      <c r="I406" s="20" t="s">
        <v>242</v>
      </c>
      <c r="J406" s="20" t="str">
        <f>TEXT(SalesHistory[[#This Row],[日付]],"yyyy-mm")</f>
        <v>2026-05</v>
      </c>
      <c r="K406" s="35">
        <f>YEAR(SalesHistory[[#This Row],[日付]])</f>
        <v>2026</v>
      </c>
      <c r="L406" s="35">
        <f>MONTH(SalesHistory[[#This Row],[日付]])</f>
        <v>5</v>
      </c>
    </row>
    <row r="407" spans="1:12" ht="24.95" customHeight="1">
      <c r="A407" s="21">
        <v>46147</v>
      </c>
      <c r="B407" s="20" t="s">
        <v>128</v>
      </c>
      <c r="C407" s="20" t="s">
        <v>234</v>
      </c>
      <c r="D407" s="22">
        <v>25</v>
      </c>
      <c r="E407" s="22">
        <v>3200</v>
      </c>
      <c r="F407" s="22">
        <f t="shared" si="12"/>
        <v>80000</v>
      </c>
      <c r="G407" s="22">
        <v>43200</v>
      </c>
      <c r="H407" s="22">
        <f t="shared" si="13"/>
        <v>36800</v>
      </c>
      <c r="I407" s="20" t="s">
        <v>242</v>
      </c>
      <c r="J407" s="20" t="str">
        <f>TEXT(SalesHistory[[#This Row],[日付]],"yyyy-mm")</f>
        <v>2026-05</v>
      </c>
      <c r="K407" s="35">
        <f>YEAR(SalesHistory[[#This Row],[日付]])</f>
        <v>2026</v>
      </c>
      <c r="L407" s="35">
        <f>MONTH(SalesHistory[[#This Row],[日付]])</f>
        <v>5</v>
      </c>
    </row>
    <row r="408" spans="1:12" ht="24.95" customHeight="1">
      <c r="A408" s="21">
        <v>46157</v>
      </c>
      <c r="B408" s="20" t="s">
        <v>128</v>
      </c>
      <c r="C408" s="20" t="s">
        <v>234</v>
      </c>
      <c r="D408" s="22">
        <v>30</v>
      </c>
      <c r="E408" s="22">
        <v>3200</v>
      </c>
      <c r="F408" s="22">
        <f t="shared" si="12"/>
        <v>96000</v>
      </c>
      <c r="G408" s="22">
        <v>51840</v>
      </c>
      <c r="H408" s="22">
        <f t="shared" si="13"/>
        <v>44160</v>
      </c>
      <c r="I408" s="20" t="s">
        <v>242</v>
      </c>
      <c r="J408" s="20" t="str">
        <f>TEXT(SalesHistory[[#This Row],[日付]],"yyyy-mm")</f>
        <v>2026-05</v>
      </c>
      <c r="K408" s="35">
        <f>YEAR(SalesHistory[[#This Row],[日付]])</f>
        <v>2026</v>
      </c>
      <c r="L408" s="35">
        <f>MONTH(SalesHistory[[#This Row],[日付]])</f>
        <v>5</v>
      </c>
    </row>
    <row r="409" spans="1:12" ht="24.95" customHeight="1">
      <c r="A409" s="21">
        <v>46167</v>
      </c>
      <c r="B409" s="20" t="s">
        <v>128</v>
      </c>
      <c r="C409" s="20" t="s">
        <v>234</v>
      </c>
      <c r="D409" s="22">
        <v>35</v>
      </c>
      <c r="E409" s="22">
        <v>3200</v>
      </c>
      <c r="F409" s="22">
        <f t="shared" si="12"/>
        <v>112000</v>
      </c>
      <c r="G409" s="22">
        <v>60480</v>
      </c>
      <c r="H409" s="22">
        <f t="shared" si="13"/>
        <v>51520</v>
      </c>
      <c r="I409" s="20" t="s">
        <v>242</v>
      </c>
      <c r="J409" s="20" t="str">
        <f>TEXT(SalesHistory[[#This Row],[日付]],"yyyy-mm")</f>
        <v>2026-05</v>
      </c>
      <c r="K409" s="35">
        <f>YEAR(SalesHistory[[#This Row],[日付]])</f>
        <v>2026</v>
      </c>
      <c r="L409" s="35">
        <f>MONTH(SalesHistory[[#This Row],[日付]])</f>
        <v>5</v>
      </c>
    </row>
    <row r="410" spans="1:12" ht="24.95" customHeight="1">
      <c r="A410" s="21">
        <v>46147</v>
      </c>
      <c r="B410" s="20" t="s">
        <v>128</v>
      </c>
      <c r="C410" s="20" t="s">
        <v>235</v>
      </c>
      <c r="D410" s="22">
        <v>28</v>
      </c>
      <c r="E410" s="22">
        <v>4000</v>
      </c>
      <c r="F410" s="22">
        <f t="shared" si="12"/>
        <v>112000</v>
      </c>
      <c r="G410" s="22">
        <v>67200</v>
      </c>
      <c r="H410" s="22">
        <f t="shared" si="13"/>
        <v>44800</v>
      </c>
      <c r="I410" s="20" t="s">
        <v>242</v>
      </c>
      <c r="J410" s="20" t="str">
        <f>TEXT(SalesHistory[[#This Row],[日付]],"yyyy-mm")</f>
        <v>2026-05</v>
      </c>
      <c r="K410" s="35">
        <f>YEAR(SalesHistory[[#This Row],[日付]])</f>
        <v>2026</v>
      </c>
      <c r="L410" s="35">
        <f>MONTH(SalesHistory[[#This Row],[日付]])</f>
        <v>5</v>
      </c>
    </row>
    <row r="411" spans="1:12" ht="24.95" customHeight="1">
      <c r="A411" s="21">
        <v>46157</v>
      </c>
      <c r="B411" s="20" t="s">
        <v>128</v>
      </c>
      <c r="C411" s="20" t="s">
        <v>235</v>
      </c>
      <c r="D411" s="22">
        <v>33</v>
      </c>
      <c r="E411" s="22">
        <v>4000</v>
      </c>
      <c r="F411" s="22">
        <f t="shared" si="12"/>
        <v>132000</v>
      </c>
      <c r="G411" s="22">
        <v>79200</v>
      </c>
      <c r="H411" s="22">
        <f t="shared" si="13"/>
        <v>52800</v>
      </c>
      <c r="I411" s="20" t="s">
        <v>242</v>
      </c>
      <c r="J411" s="20" t="str">
        <f>TEXT(SalesHistory[[#This Row],[日付]],"yyyy-mm")</f>
        <v>2026-05</v>
      </c>
      <c r="K411" s="35">
        <f>YEAR(SalesHistory[[#This Row],[日付]])</f>
        <v>2026</v>
      </c>
      <c r="L411" s="35">
        <f>MONTH(SalesHistory[[#This Row],[日付]])</f>
        <v>5</v>
      </c>
    </row>
    <row r="412" spans="1:12" ht="24.95" customHeight="1">
      <c r="A412" s="21">
        <v>46167</v>
      </c>
      <c r="B412" s="20" t="s">
        <v>128</v>
      </c>
      <c r="C412" s="20" t="s">
        <v>235</v>
      </c>
      <c r="D412" s="22">
        <v>21</v>
      </c>
      <c r="E412" s="22">
        <v>4000</v>
      </c>
      <c r="F412" s="22">
        <f t="shared" si="12"/>
        <v>84000</v>
      </c>
      <c r="G412" s="22">
        <v>50400</v>
      </c>
      <c r="H412" s="22">
        <f t="shared" si="13"/>
        <v>33600</v>
      </c>
      <c r="I412" s="20" t="s">
        <v>242</v>
      </c>
      <c r="J412" s="20" t="str">
        <f>TEXT(SalesHistory[[#This Row],[日付]],"yyyy-mm")</f>
        <v>2026-05</v>
      </c>
      <c r="K412" s="35">
        <f>YEAR(SalesHistory[[#This Row],[日付]])</f>
        <v>2026</v>
      </c>
      <c r="L412" s="35">
        <f>MONTH(SalesHistory[[#This Row],[日付]])</f>
        <v>5</v>
      </c>
    </row>
    <row r="413" spans="1:12" ht="24.95" customHeight="1">
      <c r="A413" s="21">
        <v>46178</v>
      </c>
      <c r="B413" s="20" t="s">
        <v>2</v>
      </c>
      <c r="C413" s="20" t="s">
        <v>56</v>
      </c>
      <c r="D413" s="22">
        <v>13</v>
      </c>
      <c r="E413" s="22">
        <v>50000</v>
      </c>
      <c r="F413" s="22">
        <f t="shared" si="12"/>
        <v>650000</v>
      </c>
      <c r="G413" s="22">
        <v>351000</v>
      </c>
      <c r="H413" s="22">
        <f t="shared" si="13"/>
        <v>299000</v>
      </c>
      <c r="I413" s="20" t="s">
        <v>242</v>
      </c>
      <c r="J413" s="20" t="str">
        <f>TEXT(SalesHistory[[#This Row],[日付]],"yyyy-mm")</f>
        <v>2026-06</v>
      </c>
      <c r="K413" s="35">
        <f>YEAR(SalesHistory[[#This Row],[日付]])</f>
        <v>2026</v>
      </c>
      <c r="L413" s="35">
        <f>MONTH(SalesHistory[[#This Row],[日付]])</f>
        <v>6</v>
      </c>
    </row>
    <row r="414" spans="1:12" ht="24.95" customHeight="1">
      <c r="A414" s="21">
        <v>46188</v>
      </c>
      <c r="B414" s="20" t="s">
        <v>2</v>
      </c>
      <c r="C414" s="20" t="s">
        <v>56</v>
      </c>
      <c r="D414" s="22">
        <v>18</v>
      </c>
      <c r="E414" s="22">
        <v>50000</v>
      </c>
      <c r="F414" s="22">
        <f t="shared" si="12"/>
        <v>900000</v>
      </c>
      <c r="G414" s="22">
        <v>486000</v>
      </c>
      <c r="H414" s="22">
        <f t="shared" si="13"/>
        <v>414000</v>
      </c>
      <c r="I414" s="20" t="s">
        <v>242</v>
      </c>
      <c r="J414" s="20" t="str">
        <f>TEXT(SalesHistory[[#This Row],[日付]],"yyyy-mm")</f>
        <v>2026-06</v>
      </c>
      <c r="K414" s="35">
        <f>YEAR(SalesHistory[[#This Row],[日付]])</f>
        <v>2026</v>
      </c>
      <c r="L414" s="35">
        <f>MONTH(SalesHistory[[#This Row],[日付]])</f>
        <v>6</v>
      </c>
    </row>
    <row r="415" spans="1:12" ht="24.95" customHeight="1">
      <c r="A415" s="21">
        <v>46198</v>
      </c>
      <c r="B415" s="20" t="s">
        <v>2</v>
      </c>
      <c r="C415" s="20" t="s">
        <v>56</v>
      </c>
      <c r="D415" s="22">
        <v>6</v>
      </c>
      <c r="E415" s="22">
        <v>50000</v>
      </c>
      <c r="F415" s="22">
        <f t="shared" si="12"/>
        <v>300000</v>
      </c>
      <c r="G415" s="22">
        <v>162000</v>
      </c>
      <c r="H415" s="22">
        <f t="shared" si="13"/>
        <v>138000</v>
      </c>
      <c r="I415" s="20" t="s">
        <v>242</v>
      </c>
      <c r="J415" s="20" t="str">
        <f>TEXT(SalesHistory[[#This Row],[日付]],"yyyy-mm")</f>
        <v>2026-06</v>
      </c>
      <c r="K415" s="35">
        <f>YEAR(SalesHistory[[#This Row],[日付]])</f>
        <v>2026</v>
      </c>
      <c r="L415" s="35">
        <f>MONTH(SalesHistory[[#This Row],[日付]])</f>
        <v>6</v>
      </c>
    </row>
    <row r="416" spans="1:12" ht="24.95" customHeight="1">
      <c r="A416" s="21">
        <v>46178</v>
      </c>
      <c r="B416" s="20" t="s">
        <v>2</v>
      </c>
      <c r="C416" s="20" t="s">
        <v>60</v>
      </c>
      <c r="D416" s="22">
        <v>16</v>
      </c>
      <c r="E416" s="22">
        <v>15000</v>
      </c>
      <c r="F416" s="22">
        <f t="shared" si="12"/>
        <v>240000</v>
      </c>
      <c r="G416" s="22">
        <v>144000</v>
      </c>
      <c r="H416" s="22">
        <f t="shared" si="13"/>
        <v>96000</v>
      </c>
      <c r="I416" s="20" t="s">
        <v>242</v>
      </c>
      <c r="J416" s="20" t="str">
        <f>TEXT(SalesHistory[[#This Row],[日付]],"yyyy-mm")</f>
        <v>2026-06</v>
      </c>
      <c r="K416" s="35">
        <f>YEAR(SalesHistory[[#This Row],[日付]])</f>
        <v>2026</v>
      </c>
      <c r="L416" s="35">
        <f>MONTH(SalesHistory[[#This Row],[日付]])</f>
        <v>6</v>
      </c>
    </row>
    <row r="417" spans="1:12" ht="24.95" customHeight="1">
      <c r="A417" s="21">
        <v>46188</v>
      </c>
      <c r="B417" s="20" t="s">
        <v>2</v>
      </c>
      <c r="C417" s="20" t="s">
        <v>60</v>
      </c>
      <c r="D417" s="22">
        <v>4</v>
      </c>
      <c r="E417" s="22">
        <v>15000</v>
      </c>
      <c r="F417" s="22">
        <f t="shared" si="12"/>
        <v>60000</v>
      </c>
      <c r="G417" s="22">
        <v>36000</v>
      </c>
      <c r="H417" s="22">
        <f t="shared" si="13"/>
        <v>24000</v>
      </c>
      <c r="I417" s="20" t="s">
        <v>242</v>
      </c>
      <c r="J417" s="20" t="str">
        <f>TEXT(SalesHistory[[#This Row],[日付]],"yyyy-mm")</f>
        <v>2026-06</v>
      </c>
      <c r="K417" s="35">
        <f>YEAR(SalesHistory[[#This Row],[日付]])</f>
        <v>2026</v>
      </c>
      <c r="L417" s="35">
        <f>MONTH(SalesHistory[[#This Row],[日付]])</f>
        <v>6</v>
      </c>
    </row>
    <row r="418" spans="1:12" ht="24.95" customHeight="1">
      <c r="A418" s="21">
        <v>46198</v>
      </c>
      <c r="B418" s="20" t="s">
        <v>2</v>
      </c>
      <c r="C418" s="20" t="s">
        <v>60</v>
      </c>
      <c r="D418" s="22">
        <v>9</v>
      </c>
      <c r="E418" s="22">
        <v>15000</v>
      </c>
      <c r="F418" s="22">
        <f t="shared" si="12"/>
        <v>135000</v>
      </c>
      <c r="G418" s="22">
        <v>81000</v>
      </c>
      <c r="H418" s="22">
        <f t="shared" si="13"/>
        <v>54000</v>
      </c>
      <c r="I418" s="20" t="s">
        <v>242</v>
      </c>
      <c r="J418" s="20" t="str">
        <f>TEXT(SalesHistory[[#This Row],[日付]],"yyyy-mm")</f>
        <v>2026-06</v>
      </c>
      <c r="K418" s="35">
        <f>YEAR(SalesHistory[[#This Row],[日付]])</f>
        <v>2026</v>
      </c>
      <c r="L418" s="35">
        <f>MONTH(SalesHistory[[#This Row],[日付]])</f>
        <v>6</v>
      </c>
    </row>
    <row r="419" spans="1:12" ht="24.95" customHeight="1">
      <c r="A419" s="21">
        <v>46178</v>
      </c>
      <c r="B419" s="20" t="s">
        <v>2</v>
      </c>
      <c r="C419" s="20" t="s">
        <v>231</v>
      </c>
      <c r="D419" s="22">
        <v>2</v>
      </c>
      <c r="E419" s="22">
        <v>35000</v>
      </c>
      <c r="F419" s="22">
        <f t="shared" si="12"/>
        <v>70000</v>
      </c>
      <c r="G419" s="22">
        <v>46200</v>
      </c>
      <c r="H419" s="22">
        <f t="shared" si="13"/>
        <v>23800</v>
      </c>
      <c r="I419" s="20" t="s">
        <v>242</v>
      </c>
      <c r="J419" s="20" t="str">
        <f>TEXT(SalesHistory[[#This Row],[日付]],"yyyy-mm")</f>
        <v>2026-06</v>
      </c>
      <c r="K419" s="35">
        <f>YEAR(SalesHistory[[#This Row],[日付]])</f>
        <v>2026</v>
      </c>
      <c r="L419" s="35">
        <f>MONTH(SalesHistory[[#This Row],[日付]])</f>
        <v>6</v>
      </c>
    </row>
    <row r="420" spans="1:12" ht="24.95" customHeight="1">
      <c r="A420" s="21">
        <v>46188</v>
      </c>
      <c r="B420" s="20" t="s">
        <v>2</v>
      </c>
      <c r="C420" s="20" t="s">
        <v>231</v>
      </c>
      <c r="D420" s="22">
        <v>7</v>
      </c>
      <c r="E420" s="22">
        <v>35000</v>
      </c>
      <c r="F420" s="22">
        <f t="shared" si="12"/>
        <v>245000</v>
      </c>
      <c r="G420" s="22">
        <v>161700</v>
      </c>
      <c r="H420" s="22">
        <f t="shared" si="13"/>
        <v>83300</v>
      </c>
      <c r="I420" s="20" t="s">
        <v>242</v>
      </c>
      <c r="J420" s="20" t="str">
        <f>TEXT(SalesHistory[[#This Row],[日付]],"yyyy-mm")</f>
        <v>2026-06</v>
      </c>
      <c r="K420" s="35">
        <f>YEAR(SalesHistory[[#This Row],[日付]])</f>
        <v>2026</v>
      </c>
      <c r="L420" s="35">
        <f>MONTH(SalesHistory[[#This Row],[日付]])</f>
        <v>6</v>
      </c>
    </row>
    <row r="421" spans="1:12" ht="24.95" customHeight="1">
      <c r="A421" s="21">
        <v>46198</v>
      </c>
      <c r="B421" s="20" t="s">
        <v>2</v>
      </c>
      <c r="C421" s="20" t="s">
        <v>231</v>
      </c>
      <c r="D421" s="22">
        <v>12</v>
      </c>
      <c r="E421" s="22">
        <v>35000</v>
      </c>
      <c r="F421" s="22">
        <f t="shared" si="12"/>
        <v>420000</v>
      </c>
      <c r="G421" s="22">
        <v>277200</v>
      </c>
      <c r="H421" s="22">
        <f t="shared" si="13"/>
        <v>142800</v>
      </c>
      <c r="I421" s="20" t="s">
        <v>242</v>
      </c>
      <c r="J421" s="20" t="str">
        <f>TEXT(SalesHistory[[#This Row],[日付]],"yyyy-mm")</f>
        <v>2026-06</v>
      </c>
      <c r="K421" s="35">
        <f>YEAR(SalesHistory[[#This Row],[日付]])</f>
        <v>2026</v>
      </c>
      <c r="L421" s="35">
        <f>MONTH(SalesHistory[[#This Row],[日付]])</f>
        <v>6</v>
      </c>
    </row>
    <row r="422" spans="1:12" ht="24.95" customHeight="1">
      <c r="A422" s="21">
        <v>46178</v>
      </c>
      <c r="B422" s="20" t="s">
        <v>2</v>
      </c>
      <c r="C422" s="20" t="s">
        <v>232</v>
      </c>
      <c r="D422" s="22">
        <v>5</v>
      </c>
      <c r="E422" s="22">
        <v>2500</v>
      </c>
      <c r="F422" s="22">
        <f t="shared" si="12"/>
        <v>12500</v>
      </c>
      <c r="G422" s="22">
        <v>9000</v>
      </c>
      <c r="H422" s="22">
        <f t="shared" si="13"/>
        <v>3500</v>
      </c>
      <c r="I422" s="20" t="s">
        <v>242</v>
      </c>
      <c r="J422" s="20" t="str">
        <f>TEXT(SalesHistory[[#This Row],[日付]],"yyyy-mm")</f>
        <v>2026-06</v>
      </c>
      <c r="K422" s="35">
        <f>YEAR(SalesHistory[[#This Row],[日付]])</f>
        <v>2026</v>
      </c>
      <c r="L422" s="35">
        <f>MONTH(SalesHistory[[#This Row],[日付]])</f>
        <v>6</v>
      </c>
    </row>
    <row r="423" spans="1:12" ht="24.95" customHeight="1">
      <c r="A423" s="21">
        <v>46188</v>
      </c>
      <c r="B423" s="20" t="s">
        <v>2</v>
      </c>
      <c r="C423" s="20" t="s">
        <v>232</v>
      </c>
      <c r="D423" s="22">
        <v>10</v>
      </c>
      <c r="E423" s="22">
        <v>2500</v>
      </c>
      <c r="F423" s="22">
        <f t="shared" si="12"/>
        <v>25000</v>
      </c>
      <c r="G423" s="22">
        <v>18000</v>
      </c>
      <c r="H423" s="22">
        <f t="shared" si="13"/>
        <v>7000</v>
      </c>
      <c r="I423" s="20" t="s">
        <v>242</v>
      </c>
      <c r="J423" s="20" t="str">
        <f>TEXT(SalesHistory[[#This Row],[日付]],"yyyy-mm")</f>
        <v>2026-06</v>
      </c>
      <c r="K423" s="35">
        <f>YEAR(SalesHistory[[#This Row],[日付]])</f>
        <v>2026</v>
      </c>
      <c r="L423" s="35">
        <f>MONTH(SalesHistory[[#This Row],[日付]])</f>
        <v>6</v>
      </c>
    </row>
    <row r="424" spans="1:12" ht="24.95" customHeight="1">
      <c r="A424" s="21">
        <v>46198</v>
      </c>
      <c r="B424" s="20" t="s">
        <v>2</v>
      </c>
      <c r="C424" s="20" t="s">
        <v>232</v>
      </c>
      <c r="D424" s="22">
        <v>15</v>
      </c>
      <c r="E424" s="22">
        <v>2500</v>
      </c>
      <c r="F424" s="22">
        <f t="shared" si="12"/>
        <v>37500</v>
      </c>
      <c r="G424" s="22">
        <v>27000</v>
      </c>
      <c r="H424" s="22">
        <f t="shared" si="13"/>
        <v>10500</v>
      </c>
      <c r="I424" s="20" t="s">
        <v>242</v>
      </c>
      <c r="J424" s="20" t="str">
        <f>TEXT(SalesHistory[[#This Row],[日付]],"yyyy-mm")</f>
        <v>2026-06</v>
      </c>
      <c r="K424" s="35">
        <f>YEAR(SalesHistory[[#This Row],[日付]])</f>
        <v>2026</v>
      </c>
      <c r="L424" s="35">
        <f>MONTH(SalesHistory[[#This Row],[日付]])</f>
        <v>6</v>
      </c>
    </row>
    <row r="425" spans="1:12" ht="24.95" customHeight="1">
      <c r="A425" s="21">
        <v>46178</v>
      </c>
      <c r="B425" s="20" t="s">
        <v>128</v>
      </c>
      <c r="C425" s="20" t="s">
        <v>148</v>
      </c>
      <c r="D425" s="22">
        <v>26</v>
      </c>
      <c r="E425" s="22">
        <v>2000</v>
      </c>
      <c r="F425" s="22">
        <f t="shared" si="12"/>
        <v>52000</v>
      </c>
      <c r="G425" s="22">
        <v>24960</v>
      </c>
      <c r="H425" s="22">
        <f t="shared" si="13"/>
        <v>27040</v>
      </c>
      <c r="I425" s="20" t="s">
        <v>242</v>
      </c>
      <c r="J425" s="20" t="str">
        <f>TEXT(SalesHistory[[#This Row],[日付]],"yyyy-mm")</f>
        <v>2026-06</v>
      </c>
      <c r="K425" s="35">
        <f>YEAR(SalesHistory[[#This Row],[日付]])</f>
        <v>2026</v>
      </c>
      <c r="L425" s="35">
        <f>MONTH(SalesHistory[[#This Row],[日付]])</f>
        <v>6</v>
      </c>
    </row>
    <row r="426" spans="1:12" ht="24.95" customHeight="1">
      <c r="A426" s="21">
        <v>46188</v>
      </c>
      <c r="B426" s="20" t="s">
        <v>128</v>
      </c>
      <c r="C426" s="20" t="s">
        <v>148</v>
      </c>
      <c r="D426" s="22">
        <v>31</v>
      </c>
      <c r="E426" s="22">
        <v>2000</v>
      </c>
      <c r="F426" s="22">
        <f t="shared" si="12"/>
        <v>62000</v>
      </c>
      <c r="G426" s="22">
        <v>29760</v>
      </c>
      <c r="H426" s="22">
        <f t="shared" si="13"/>
        <v>32240</v>
      </c>
      <c r="I426" s="20" t="s">
        <v>242</v>
      </c>
      <c r="J426" s="20" t="str">
        <f>TEXT(SalesHistory[[#This Row],[日付]],"yyyy-mm")</f>
        <v>2026-06</v>
      </c>
      <c r="K426" s="35">
        <f>YEAR(SalesHistory[[#This Row],[日付]])</f>
        <v>2026</v>
      </c>
      <c r="L426" s="35">
        <f>MONTH(SalesHistory[[#This Row],[日付]])</f>
        <v>6</v>
      </c>
    </row>
    <row r="427" spans="1:12" ht="24.95" customHeight="1">
      <c r="A427" s="21">
        <v>46198</v>
      </c>
      <c r="B427" s="20" t="s">
        <v>128</v>
      </c>
      <c r="C427" s="20" t="s">
        <v>148</v>
      </c>
      <c r="D427" s="22">
        <v>36</v>
      </c>
      <c r="E427" s="22">
        <v>2000</v>
      </c>
      <c r="F427" s="22">
        <f t="shared" si="12"/>
        <v>72000</v>
      </c>
      <c r="G427" s="22">
        <v>34560</v>
      </c>
      <c r="H427" s="22">
        <f t="shared" si="13"/>
        <v>37440</v>
      </c>
      <c r="I427" s="20" t="s">
        <v>242</v>
      </c>
      <c r="J427" s="20" t="str">
        <f>TEXT(SalesHistory[[#This Row],[日付]],"yyyy-mm")</f>
        <v>2026-06</v>
      </c>
      <c r="K427" s="35">
        <f>YEAR(SalesHistory[[#This Row],[日付]])</f>
        <v>2026</v>
      </c>
      <c r="L427" s="35">
        <f>MONTH(SalesHistory[[#This Row],[日付]])</f>
        <v>6</v>
      </c>
    </row>
    <row r="428" spans="1:12" ht="24.95" customHeight="1">
      <c r="A428" s="21">
        <v>46178</v>
      </c>
      <c r="B428" s="20" t="s">
        <v>128</v>
      </c>
      <c r="C428" s="20" t="s">
        <v>233</v>
      </c>
      <c r="D428" s="22">
        <v>29</v>
      </c>
      <c r="E428" s="22">
        <v>1800</v>
      </c>
      <c r="F428" s="22">
        <f t="shared" si="12"/>
        <v>52200</v>
      </c>
      <c r="G428" s="22">
        <v>28188</v>
      </c>
      <c r="H428" s="22">
        <f t="shared" si="13"/>
        <v>24012</v>
      </c>
      <c r="I428" s="20" t="s">
        <v>242</v>
      </c>
      <c r="J428" s="20" t="str">
        <f>TEXT(SalesHistory[[#This Row],[日付]],"yyyy-mm")</f>
        <v>2026-06</v>
      </c>
      <c r="K428" s="35">
        <f>YEAR(SalesHistory[[#This Row],[日付]])</f>
        <v>2026</v>
      </c>
      <c r="L428" s="35">
        <f>MONTH(SalesHistory[[#This Row],[日付]])</f>
        <v>6</v>
      </c>
    </row>
    <row r="429" spans="1:12" ht="24.95" customHeight="1">
      <c r="A429" s="21">
        <v>46188</v>
      </c>
      <c r="B429" s="20" t="s">
        <v>128</v>
      </c>
      <c r="C429" s="20" t="s">
        <v>233</v>
      </c>
      <c r="D429" s="22">
        <v>34</v>
      </c>
      <c r="E429" s="22">
        <v>1800</v>
      </c>
      <c r="F429" s="22">
        <f t="shared" si="12"/>
        <v>61200</v>
      </c>
      <c r="G429" s="22">
        <v>33048</v>
      </c>
      <c r="H429" s="22">
        <f t="shared" si="13"/>
        <v>28152</v>
      </c>
      <c r="I429" s="20" t="s">
        <v>242</v>
      </c>
      <c r="J429" s="20" t="str">
        <f>TEXT(SalesHistory[[#This Row],[日付]],"yyyy-mm")</f>
        <v>2026-06</v>
      </c>
      <c r="K429" s="35">
        <f>YEAR(SalesHistory[[#This Row],[日付]])</f>
        <v>2026</v>
      </c>
      <c r="L429" s="35">
        <f>MONTH(SalesHistory[[#This Row],[日付]])</f>
        <v>6</v>
      </c>
    </row>
    <row r="430" spans="1:12" ht="24.95" customHeight="1">
      <c r="A430" s="21">
        <v>46198</v>
      </c>
      <c r="B430" s="20" t="s">
        <v>128</v>
      </c>
      <c r="C430" s="20" t="s">
        <v>233</v>
      </c>
      <c r="D430" s="22">
        <v>22</v>
      </c>
      <c r="E430" s="22">
        <v>1800</v>
      </c>
      <c r="F430" s="22">
        <f t="shared" si="12"/>
        <v>39600</v>
      </c>
      <c r="G430" s="22">
        <v>21384</v>
      </c>
      <c r="H430" s="22">
        <f t="shared" si="13"/>
        <v>18216</v>
      </c>
      <c r="I430" s="20" t="s">
        <v>242</v>
      </c>
      <c r="J430" s="20" t="str">
        <f>TEXT(SalesHistory[[#This Row],[日付]],"yyyy-mm")</f>
        <v>2026-06</v>
      </c>
      <c r="K430" s="35">
        <f>YEAR(SalesHistory[[#This Row],[日付]])</f>
        <v>2026</v>
      </c>
      <c r="L430" s="35">
        <f>MONTH(SalesHistory[[#This Row],[日付]])</f>
        <v>6</v>
      </c>
    </row>
    <row r="431" spans="1:12" ht="24.95" customHeight="1">
      <c r="A431" s="21">
        <v>46178</v>
      </c>
      <c r="B431" s="20" t="s">
        <v>128</v>
      </c>
      <c r="C431" s="20" t="s">
        <v>234</v>
      </c>
      <c r="D431" s="22">
        <v>32</v>
      </c>
      <c r="E431" s="22">
        <v>3200</v>
      </c>
      <c r="F431" s="22">
        <f t="shared" si="12"/>
        <v>102400</v>
      </c>
      <c r="G431" s="22">
        <v>61440</v>
      </c>
      <c r="H431" s="22">
        <f t="shared" si="13"/>
        <v>40960</v>
      </c>
      <c r="I431" s="20" t="s">
        <v>242</v>
      </c>
      <c r="J431" s="20" t="str">
        <f>TEXT(SalesHistory[[#This Row],[日付]],"yyyy-mm")</f>
        <v>2026-06</v>
      </c>
      <c r="K431" s="35">
        <f>YEAR(SalesHistory[[#This Row],[日付]])</f>
        <v>2026</v>
      </c>
      <c r="L431" s="35">
        <f>MONTH(SalesHistory[[#This Row],[日付]])</f>
        <v>6</v>
      </c>
    </row>
    <row r="432" spans="1:12" ht="24.95" customHeight="1">
      <c r="A432" s="21">
        <v>46188</v>
      </c>
      <c r="B432" s="20" t="s">
        <v>128</v>
      </c>
      <c r="C432" s="20" t="s">
        <v>234</v>
      </c>
      <c r="D432" s="22">
        <v>20</v>
      </c>
      <c r="E432" s="22">
        <v>3200</v>
      </c>
      <c r="F432" s="22">
        <f t="shared" si="12"/>
        <v>64000</v>
      </c>
      <c r="G432" s="22">
        <v>38400</v>
      </c>
      <c r="H432" s="22">
        <f t="shared" si="13"/>
        <v>25600</v>
      </c>
      <c r="I432" s="20" t="s">
        <v>242</v>
      </c>
      <c r="J432" s="20" t="str">
        <f>TEXT(SalesHistory[[#This Row],[日付]],"yyyy-mm")</f>
        <v>2026-06</v>
      </c>
      <c r="K432" s="35">
        <f>YEAR(SalesHistory[[#This Row],[日付]])</f>
        <v>2026</v>
      </c>
      <c r="L432" s="35">
        <f>MONTH(SalesHistory[[#This Row],[日付]])</f>
        <v>6</v>
      </c>
    </row>
    <row r="433" spans="1:12" ht="24.95" customHeight="1">
      <c r="A433" s="21">
        <v>46198</v>
      </c>
      <c r="B433" s="20" t="s">
        <v>128</v>
      </c>
      <c r="C433" s="20" t="s">
        <v>234</v>
      </c>
      <c r="D433" s="22">
        <v>25</v>
      </c>
      <c r="E433" s="22">
        <v>3200</v>
      </c>
      <c r="F433" s="22">
        <f t="shared" si="12"/>
        <v>80000</v>
      </c>
      <c r="G433" s="22">
        <v>48000</v>
      </c>
      <c r="H433" s="22">
        <f t="shared" si="13"/>
        <v>32000</v>
      </c>
      <c r="I433" s="20" t="s">
        <v>242</v>
      </c>
      <c r="J433" s="20" t="str">
        <f>TEXT(SalesHistory[[#This Row],[日付]],"yyyy-mm")</f>
        <v>2026-06</v>
      </c>
      <c r="K433" s="35">
        <f>YEAR(SalesHistory[[#This Row],[日付]])</f>
        <v>2026</v>
      </c>
      <c r="L433" s="35">
        <f>MONTH(SalesHistory[[#This Row],[日付]])</f>
        <v>6</v>
      </c>
    </row>
    <row r="434" spans="1:12" ht="24.95" customHeight="1">
      <c r="A434" s="21">
        <v>46178</v>
      </c>
      <c r="B434" s="20" t="s">
        <v>128</v>
      </c>
      <c r="C434" s="20" t="s">
        <v>235</v>
      </c>
      <c r="D434" s="22">
        <v>35</v>
      </c>
      <c r="E434" s="22">
        <v>4000</v>
      </c>
      <c r="F434" s="22">
        <f t="shared" si="12"/>
        <v>140000</v>
      </c>
      <c r="G434" s="22">
        <v>92400</v>
      </c>
      <c r="H434" s="22">
        <f t="shared" si="13"/>
        <v>47600</v>
      </c>
      <c r="I434" s="20" t="s">
        <v>242</v>
      </c>
      <c r="J434" s="20" t="str">
        <f>TEXT(SalesHistory[[#This Row],[日付]],"yyyy-mm")</f>
        <v>2026-06</v>
      </c>
      <c r="K434" s="35">
        <f>YEAR(SalesHistory[[#This Row],[日付]])</f>
        <v>2026</v>
      </c>
      <c r="L434" s="35">
        <f>MONTH(SalesHistory[[#This Row],[日付]])</f>
        <v>6</v>
      </c>
    </row>
    <row r="435" spans="1:12" ht="24.95" customHeight="1">
      <c r="A435" s="21">
        <v>46188</v>
      </c>
      <c r="B435" s="20" t="s">
        <v>128</v>
      </c>
      <c r="C435" s="20" t="s">
        <v>235</v>
      </c>
      <c r="D435" s="22">
        <v>23</v>
      </c>
      <c r="E435" s="22">
        <v>4000</v>
      </c>
      <c r="F435" s="22">
        <f t="shared" si="12"/>
        <v>92000</v>
      </c>
      <c r="G435" s="22">
        <v>60720</v>
      </c>
      <c r="H435" s="22">
        <f t="shared" si="13"/>
        <v>31280</v>
      </c>
      <c r="I435" s="20" t="s">
        <v>242</v>
      </c>
      <c r="J435" s="20" t="str">
        <f>TEXT(SalesHistory[[#This Row],[日付]],"yyyy-mm")</f>
        <v>2026-06</v>
      </c>
      <c r="K435" s="35">
        <f>YEAR(SalesHistory[[#This Row],[日付]])</f>
        <v>2026</v>
      </c>
      <c r="L435" s="35">
        <f>MONTH(SalesHistory[[#This Row],[日付]])</f>
        <v>6</v>
      </c>
    </row>
    <row r="436" spans="1:12" ht="24.95" customHeight="1">
      <c r="A436" s="21">
        <v>46198</v>
      </c>
      <c r="B436" s="20" t="s">
        <v>128</v>
      </c>
      <c r="C436" s="20" t="s">
        <v>235</v>
      </c>
      <c r="D436" s="22">
        <v>28</v>
      </c>
      <c r="E436" s="22">
        <v>4000</v>
      </c>
      <c r="F436" s="22">
        <f t="shared" si="12"/>
        <v>112000</v>
      </c>
      <c r="G436" s="22">
        <v>73920</v>
      </c>
      <c r="H436" s="22">
        <f t="shared" si="13"/>
        <v>38080</v>
      </c>
      <c r="I436" s="20" t="s">
        <v>242</v>
      </c>
      <c r="J436" s="20" t="str">
        <f>TEXT(SalesHistory[[#This Row],[日付]],"yyyy-mm")</f>
        <v>2026-06</v>
      </c>
      <c r="K436" s="35">
        <f>YEAR(SalesHistory[[#This Row],[日付]])</f>
        <v>2026</v>
      </c>
      <c r="L436" s="35">
        <f>MONTH(SalesHistory[[#This Row],[日付]])</f>
        <v>6</v>
      </c>
    </row>
    <row r="437" spans="1:12" ht="24.95" customHeight="1">
      <c r="A437" s="21">
        <v>46208</v>
      </c>
      <c r="B437" s="20" t="s">
        <v>2</v>
      </c>
      <c r="C437" s="20" t="s">
        <v>56</v>
      </c>
      <c r="D437" s="22">
        <v>3</v>
      </c>
      <c r="E437" s="22">
        <v>50000</v>
      </c>
      <c r="F437" s="22">
        <f t="shared" si="12"/>
        <v>150000</v>
      </c>
      <c r="G437" s="22">
        <v>90000</v>
      </c>
      <c r="H437" s="22">
        <f t="shared" si="13"/>
        <v>60000</v>
      </c>
      <c r="I437" s="20" t="s">
        <v>242</v>
      </c>
      <c r="J437" s="20" t="str">
        <f>TEXT(SalesHistory[[#This Row],[日付]],"yyyy-mm")</f>
        <v>2026-07</v>
      </c>
      <c r="K437" s="35">
        <f>YEAR(SalesHistory[[#This Row],[日付]])</f>
        <v>2026</v>
      </c>
      <c r="L437" s="35">
        <f>MONTH(SalesHistory[[#This Row],[日付]])</f>
        <v>7</v>
      </c>
    </row>
    <row r="438" spans="1:12" ht="24.95" customHeight="1">
      <c r="A438" s="21">
        <v>46218</v>
      </c>
      <c r="B438" s="20" t="s">
        <v>2</v>
      </c>
      <c r="C438" s="20" t="s">
        <v>56</v>
      </c>
      <c r="D438" s="22">
        <v>8</v>
      </c>
      <c r="E438" s="22">
        <v>50000</v>
      </c>
      <c r="F438" s="22">
        <f t="shared" si="12"/>
        <v>400000</v>
      </c>
      <c r="G438" s="22">
        <v>240000</v>
      </c>
      <c r="H438" s="22">
        <f t="shared" si="13"/>
        <v>160000</v>
      </c>
      <c r="I438" s="20" t="s">
        <v>242</v>
      </c>
      <c r="J438" s="20" t="str">
        <f>TEXT(SalesHistory[[#This Row],[日付]],"yyyy-mm")</f>
        <v>2026-07</v>
      </c>
      <c r="K438" s="35">
        <f>YEAR(SalesHistory[[#This Row],[日付]])</f>
        <v>2026</v>
      </c>
      <c r="L438" s="35">
        <f>MONTH(SalesHistory[[#This Row],[日付]])</f>
        <v>7</v>
      </c>
    </row>
    <row r="439" spans="1:12" ht="24.95" customHeight="1">
      <c r="A439" s="21">
        <v>46228</v>
      </c>
      <c r="B439" s="20" t="s">
        <v>2</v>
      </c>
      <c r="C439" s="20" t="s">
        <v>56</v>
      </c>
      <c r="D439" s="22">
        <v>13</v>
      </c>
      <c r="E439" s="22">
        <v>50000</v>
      </c>
      <c r="F439" s="22">
        <f t="shared" si="12"/>
        <v>650000</v>
      </c>
      <c r="G439" s="22">
        <v>390000</v>
      </c>
      <c r="H439" s="22">
        <f t="shared" si="13"/>
        <v>260000</v>
      </c>
      <c r="I439" s="20" t="s">
        <v>242</v>
      </c>
      <c r="J439" s="20" t="str">
        <f>TEXT(SalesHistory[[#This Row],[日付]],"yyyy-mm")</f>
        <v>2026-07</v>
      </c>
      <c r="K439" s="35">
        <f>YEAR(SalesHistory[[#This Row],[日付]])</f>
        <v>2026</v>
      </c>
      <c r="L439" s="35">
        <f>MONTH(SalesHistory[[#This Row],[日付]])</f>
        <v>7</v>
      </c>
    </row>
    <row r="440" spans="1:12" ht="24.95" customHeight="1">
      <c r="A440" s="21">
        <v>46208</v>
      </c>
      <c r="B440" s="20" t="s">
        <v>2</v>
      </c>
      <c r="C440" s="20" t="s">
        <v>60</v>
      </c>
      <c r="D440" s="22">
        <v>6</v>
      </c>
      <c r="E440" s="22">
        <v>15000</v>
      </c>
      <c r="F440" s="22">
        <f t="shared" si="12"/>
        <v>90000</v>
      </c>
      <c r="G440" s="22">
        <v>59400</v>
      </c>
      <c r="H440" s="22">
        <f t="shared" si="13"/>
        <v>30600</v>
      </c>
      <c r="I440" s="20" t="s">
        <v>242</v>
      </c>
      <c r="J440" s="20" t="str">
        <f>TEXT(SalesHistory[[#This Row],[日付]],"yyyy-mm")</f>
        <v>2026-07</v>
      </c>
      <c r="K440" s="35">
        <f>YEAR(SalesHistory[[#This Row],[日付]])</f>
        <v>2026</v>
      </c>
      <c r="L440" s="35">
        <f>MONTH(SalesHistory[[#This Row],[日付]])</f>
        <v>7</v>
      </c>
    </row>
    <row r="441" spans="1:12" ht="24.95" customHeight="1">
      <c r="A441" s="21">
        <v>46218</v>
      </c>
      <c r="B441" s="20" t="s">
        <v>2</v>
      </c>
      <c r="C441" s="20" t="s">
        <v>60</v>
      </c>
      <c r="D441" s="22">
        <v>11</v>
      </c>
      <c r="E441" s="22">
        <v>15000</v>
      </c>
      <c r="F441" s="22">
        <f t="shared" si="12"/>
        <v>165000</v>
      </c>
      <c r="G441" s="22">
        <v>108900</v>
      </c>
      <c r="H441" s="22">
        <f t="shared" si="13"/>
        <v>56100</v>
      </c>
      <c r="I441" s="20" t="s">
        <v>242</v>
      </c>
      <c r="J441" s="20" t="str">
        <f>TEXT(SalesHistory[[#This Row],[日付]],"yyyy-mm")</f>
        <v>2026-07</v>
      </c>
      <c r="K441" s="35">
        <f>YEAR(SalesHistory[[#This Row],[日付]])</f>
        <v>2026</v>
      </c>
      <c r="L441" s="35">
        <f>MONTH(SalesHistory[[#This Row],[日付]])</f>
        <v>7</v>
      </c>
    </row>
    <row r="442" spans="1:12" ht="24.95" customHeight="1">
      <c r="A442" s="21">
        <v>46228</v>
      </c>
      <c r="B442" s="20" t="s">
        <v>2</v>
      </c>
      <c r="C442" s="20" t="s">
        <v>60</v>
      </c>
      <c r="D442" s="22">
        <v>16</v>
      </c>
      <c r="E442" s="22">
        <v>15000</v>
      </c>
      <c r="F442" s="22">
        <f t="shared" si="12"/>
        <v>240000</v>
      </c>
      <c r="G442" s="22">
        <v>158400</v>
      </c>
      <c r="H442" s="22">
        <f t="shared" si="13"/>
        <v>81600</v>
      </c>
      <c r="I442" s="20" t="s">
        <v>242</v>
      </c>
      <c r="J442" s="20" t="str">
        <f>TEXT(SalesHistory[[#This Row],[日付]],"yyyy-mm")</f>
        <v>2026-07</v>
      </c>
      <c r="K442" s="35">
        <f>YEAR(SalesHistory[[#This Row],[日付]])</f>
        <v>2026</v>
      </c>
      <c r="L442" s="35">
        <f>MONTH(SalesHistory[[#This Row],[日付]])</f>
        <v>7</v>
      </c>
    </row>
    <row r="443" spans="1:12" ht="24.95" customHeight="1">
      <c r="A443" s="21">
        <v>46208</v>
      </c>
      <c r="B443" s="20" t="s">
        <v>2</v>
      </c>
      <c r="C443" s="20" t="s">
        <v>231</v>
      </c>
      <c r="D443" s="22">
        <v>9</v>
      </c>
      <c r="E443" s="22">
        <v>35000</v>
      </c>
      <c r="F443" s="22">
        <f t="shared" si="12"/>
        <v>315000</v>
      </c>
      <c r="G443" s="22">
        <v>226800</v>
      </c>
      <c r="H443" s="22">
        <f t="shared" si="13"/>
        <v>88200</v>
      </c>
      <c r="I443" s="20" t="s">
        <v>242</v>
      </c>
      <c r="J443" s="20" t="str">
        <f>TEXT(SalesHistory[[#This Row],[日付]],"yyyy-mm")</f>
        <v>2026-07</v>
      </c>
      <c r="K443" s="35">
        <f>YEAR(SalesHistory[[#This Row],[日付]])</f>
        <v>2026</v>
      </c>
      <c r="L443" s="35">
        <f>MONTH(SalesHistory[[#This Row],[日付]])</f>
        <v>7</v>
      </c>
    </row>
    <row r="444" spans="1:12" ht="24.95" customHeight="1">
      <c r="A444" s="21">
        <v>46218</v>
      </c>
      <c r="B444" s="20" t="s">
        <v>2</v>
      </c>
      <c r="C444" s="20" t="s">
        <v>231</v>
      </c>
      <c r="D444" s="22">
        <v>14</v>
      </c>
      <c r="E444" s="22">
        <v>35000</v>
      </c>
      <c r="F444" s="22">
        <f t="shared" si="12"/>
        <v>490000</v>
      </c>
      <c r="G444" s="22">
        <v>352800</v>
      </c>
      <c r="H444" s="22">
        <f t="shared" si="13"/>
        <v>137200</v>
      </c>
      <c r="I444" s="20" t="s">
        <v>242</v>
      </c>
      <c r="J444" s="20" t="str">
        <f>TEXT(SalesHistory[[#This Row],[日付]],"yyyy-mm")</f>
        <v>2026-07</v>
      </c>
      <c r="K444" s="35">
        <f>YEAR(SalesHistory[[#This Row],[日付]])</f>
        <v>2026</v>
      </c>
      <c r="L444" s="35">
        <f>MONTH(SalesHistory[[#This Row],[日付]])</f>
        <v>7</v>
      </c>
    </row>
    <row r="445" spans="1:12" ht="24.95" customHeight="1">
      <c r="A445" s="21">
        <v>46228</v>
      </c>
      <c r="B445" s="20" t="s">
        <v>2</v>
      </c>
      <c r="C445" s="20" t="s">
        <v>231</v>
      </c>
      <c r="D445" s="22">
        <v>2</v>
      </c>
      <c r="E445" s="22">
        <v>35000</v>
      </c>
      <c r="F445" s="22">
        <f t="shared" si="12"/>
        <v>70000</v>
      </c>
      <c r="G445" s="22">
        <v>50400</v>
      </c>
      <c r="H445" s="22">
        <f t="shared" si="13"/>
        <v>19600</v>
      </c>
      <c r="I445" s="20" t="s">
        <v>242</v>
      </c>
      <c r="J445" s="20" t="str">
        <f>TEXT(SalesHistory[[#This Row],[日付]],"yyyy-mm")</f>
        <v>2026-07</v>
      </c>
      <c r="K445" s="35">
        <f>YEAR(SalesHistory[[#This Row],[日付]])</f>
        <v>2026</v>
      </c>
      <c r="L445" s="35">
        <f>MONTH(SalesHistory[[#This Row],[日付]])</f>
        <v>7</v>
      </c>
    </row>
    <row r="446" spans="1:12" ht="24.95" customHeight="1">
      <c r="A446" s="21">
        <v>46208</v>
      </c>
      <c r="B446" s="20" t="s">
        <v>2</v>
      </c>
      <c r="C446" s="20" t="s">
        <v>232</v>
      </c>
      <c r="D446" s="22">
        <v>12</v>
      </c>
      <c r="E446" s="22">
        <v>2500</v>
      </c>
      <c r="F446" s="22">
        <f t="shared" si="12"/>
        <v>30000</v>
      </c>
      <c r="G446" s="22">
        <v>14400</v>
      </c>
      <c r="H446" s="22">
        <f t="shared" si="13"/>
        <v>15600</v>
      </c>
      <c r="I446" s="20" t="s">
        <v>242</v>
      </c>
      <c r="J446" s="20" t="str">
        <f>TEXT(SalesHistory[[#This Row],[日付]],"yyyy-mm")</f>
        <v>2026-07</v>
      </c>
      <c r="K446" s="35">
        <f>YEAR(SalesHistory[[#This Row],[日付]])</f>
        <v>2026</v>
      </c>
      <c r="L446" s="35">
        <f>MONTH(SalesHistory[[#This Row],[日付]])</f>
        <v>7</v>
      </c>
    </row>
    <row r="447" spans="1:12" ht="24.95" customHeight="1">
      <c r="A447" s="21">
        <v>46218</v>
      </c>
      <c r="B447" s="20" t="s">
        <v>2</v>
      </c>
      <c r="C447" s="20" t="s">
        <v>232</v>
      </c>
      <c r="D447" s="22">
        <v>17</v>
      </c>
      <c r="E447" s="22">
        <v>2500</v>
      </c>
      <c r="F447" s="22">
        <f t="shared" si="12"/>
        <v>42500</v>
      </c>
      <c r="G447" s="22">
        <v>20400</v>
      </c>
      <c r="H447" s="22">
        <f t="shared" si="13"/>
        <v>22100</v>
      </c>
      <c r="I447" s="20" t="s">
        <v>242</v>
      </c>
      <c r="J447" s="20" t="str">
        <f>TEXT(SalesHistory[[#This Row],[日付]],"yyyy-mm")</f>
        <v>2026-07</v>
      </c>
      <c r="K447" s="35">
        <f>YEAR(SalesHistory[[#This Row],[日付]])</f>
        <v>2026</v>
      </c>
      <c r="L447" s="35">
        <f>MONTH(SalesHistory[[#This Row],[日付]])</f>
        <v>7</v>
      </c>
    </row>
    <row r="448" spans="1:12" ht="24.95" customHeight="1">
      <c r="A448" s="21">
        <v>46228</v>
      </c>
      <c r="B448" s="20" t="s">
        <v>2</v>
      </c>
      <c r="C448" s="20" t="s">
        <v>232</v>
      </c>
      <c r="D448" s="22">
        <v>5</v>
      </c>
      <c r="E448" s="22">
        <v>2500</v>
      </c>
      <c r="F448" s="22">
        <f t="shared" si="12"/>
        <v>12500</v>
      </c>
      <c r="G448" s="22">
        <v>6000</v>
      </c>
      <c r="H448" s="22">
        <f t="shared" si="13"/>
        <v>6500</v>
      </c>
      <c r="I448" s="20" t="s">
        <v>242</v>
      </c>
      <c r="J448" s="20" t="str">
        <f>TEXT(SalesHistory[[#This Row],[日付]],"yyyy-mm")</f>
        <v>2026-07</v>
      </c>
      <c r="K448" s="35">
        <f>YEAR(SalesHistory[[#This Row],[日付]])</f>
        <v>2026</v>
      </c>
      <c r="L448" s="35">
        <f>MONTH(SalesHistory[[#This Row],[日付]])</f>
        <v>7</v>
      </c>
    </row>
    <row r="449" spans="1:12" ht="24.95" customHeight="1">
      <c r="A449" s="21">
        <v>46208</v>
      </c>
      <c r="B449" s="20" t="s">
        <v>128</v>
      </c>
      <c r="C449" s="20" t="s">
        <v>148</v>
      </c>
      <c r="D449" s="22">
        <v>33</v>
      </c>
      <c r="E449" s="22">
        <v>2000</v>
      </c>
      <c r="F449" s="22">
        <f t="shared" si="12"/>
        <v>66000</v>
      </c>
      <c r="G449" s="22">
        <v>35640</v>
      </c>
      <c r="H449" s="22">
        <f t="shared" si="13"/>
        <v>30360</v>
      </c>
      <c r="I449" s="20" t="s">
        <v>242</v>
      </c>
      <c r="J449" s="20" t="str">
        <f>TEXT(SalesHistory[[#This Row],[日付]],"yyyy-mm")</f>
        <v>2026-07</v>
      </c>
      <c r="K449" s="35">
        <f>YEAR(SalesHistory[[#This Row],[日付]])</f>
        <v>2026</v>
      </c>
      <c r="L449" s="35">
        <f>MONTH(SalesHistory[[#This Row],[日付]])</f>
        <v>7</v>
      </c>
    </row>
    <row r="450" spans="1:12" ht="24.95" customHeight="1">
      <c r="A450" s="21">
        <v>46218</v>
      </c>
      <c r="B450" s="20" t="s">
        <v>128</v>
      </c>
      <c r="C450" s="20" t="s">
        <v>148</v>
      </c>
      <c r="D450" s="22">
        <v>21</v>
      </c>
      <c r="E450" s="22">
        <v>2000</v>
      </c>
      <c r="F450" s="22">
        <f t="shared" si="12"/>
        <v>42000</v>
      </c>
      <c r="G450" s="22">
        <v>22680</v>
      </c>
      <c r="H450" s="22">
        <f t="shared" si="13"/>
        <v>19320</v>
      </c>
      <c r="I450" s="20" t="s">
        <v>242</v>
      </c>
      <c r="J450" s="20" t="str">
        <f>TEXT(SalesHistory[[#This Row],[日付]],"yyyy-mm")</f>
        <v>2026-07</v>
      </c>
      <c r="K450" s="35">
        <f>YEAR(SalesHistory[[#This Row],[日付]])</f>
        <v>2026</v>
      </c>
      <c r="L450" s="35">
        <f>MONTH(SalesHistory[[#This Row],[日付]])</f>
        <v>7</v>
      </c>
    </row>
    <row r="451" spans="1:12" ht="24.95" customHeight="1">
      <c r="A451" s="21">
        <v>46228</v>
      </c>
      <c r="B451" s="20" t="s">
        <v>128</v>
      </c>
      <c r="C451" s="20" t="s">
        <v>148</v>
      </c>
      <c r="D451" s="22">
        <v>26</v>
      </c>
      <c r="E451" s="22">
        <v>2000</v>
      </c>
      <c r="F451" s="22">
        <f t="shared" si="12"/>
        <v>52000</v>
      </c>
      <c r="G451" s="22">
        <v>28080</v>
      </c>
      <c r="H451" s="22">
        <f t="shared" si="13"/>
        <v>23920</v>
      </c>
      <c r="I451" s="20" t="s">
        <v>242</v>
      </c>
      <c r="J451" s="20" t="str">
        <f>TEXT(SalesHistory[[#This Row],[日付]],"yyyy-mm")</f>
        <v>2026-07</v>
      </c>
      <c r="K451" s="35">
        <f>YEAR(SalesHistory[[#This Row],[日付]])</f>
        <v>2026</v>
      </c>
      <c r="L451" s="35">
        <f>MONTH(SalesHistory[[#This Row],[日付]])</f>
        <v>7</v>
      </c>
    </row>
    <row r="452" spans="1:12" ht="24.95" customHeight="1">
      <c r="A452" s="21">
        <v>46208</v>
      </c>
      <c r="B452" s="20" t="s">
        <v>128</v>
      </c>
      <c r="C452" s="20" t="s">
        <v>233</v>
      </c>
      <c r="D452" s="22">
        <v>36</v>
      </c>
      <c r="E452" s="22">
        <v>1800</v>
      </c>
      <c r="F452" s="22">
        <f t="shared" si="12"/>
        <v>64800</v>
      </c>
      <c r="G452" s="22">
        <v>38880</v>
      </c>
      <c r="H452" s="22">
        <f t="shared" si="13"/>
        <v>25920</v>
      </c>
      <c r="I452" s="20" t="s">
        <v>242</v>
      </c>
      <c r="J452" s="20" t="str">
        <f>TEXT(SalesHistory[[#This Row],[日付]],"yyyy-mm")</f>
        <v>2026-07</v>
      </c>
      <c r="K452" s="35">
        <f>YEAR(SalesHistory[[#This Row],[日付]])</f>
        <v>2026</v>
      </c>
      <c r="L452" s="35">
        <f>MONTH(SalesHistory[[#This Row],[日付]])</f>
        <v>7</v>
      </c>
    </row>
    <row r="453" spans="1:12" ht="24.95" customHeight="1">
      <c r="A453" s="21">
        <v>46218</v>
      </c>
      <c r="B453" s="20" t="s">
        <v>128</v>
      </c>
      <c r="C453" s="20" t="s">
        <v>233</v>
      </c>
      <c r="D453" s="22">
        <v>24</v>
      </c>
      <c r="E453" s="22">
        <v>1800</v>
      </c>
      <c r="F453" s="22">
        <f t="shared" ref="F453:F516" si="14">ROUND(D453*E453,0)</f>
        <v>43200</v>
      </c>
      <c r="G453" s="22">
        <v>25920</v>
      </c>
      <c r="H453" s="22">
        <f t="shared" ref="H453:H516" si="15">F453-G453</f>
        <v>17280</v>
      </c>
      <c r="I453" s="20" t="s">
        <v>242</v>
      </c>
      <c r="J453" s="20" t="str">
        <f>TEXT(SalesHistory[[#This Row],[日付]],"yyyy-mm")</f>
        <v>2026-07</v>
      </c>
      <c r="K453" s="35">
        <f>YEAR(SalesHistory[[#This Row],[日付]])</f>
        <v>2026</v>
      </c>
      <c r="L453" s="35">
        <f>MONTH(SalesHistory[[#This Row],[日付]])</f>
        <v>7</v>
      </c>
    </row>
    <row r="454" spans="1:12" ht="24.95" customHeight="1">
      <c r="A454" s="21">
        <v>46228</v>
      </c>
      <c r="B454" s="20" t="s">
        <v>128</v>
      </c>
      <c r="C454" s="20" t="s">
        <v>233</v>
      </c>
      <c r="D454" s="22">
        <v>29</v>
      </c>
      <c r="E454" s="22">
        <v>1800</v>
      </c>
      <c r="F454" s="22">
        <f t="shared" si="14"/>
        <v>52200</v>
      </c>
      <c r="G454" s="22">
        <v>31320</v>
      </c>
      <c r="H454" s="22">
        <f t="shared" si="15"/>
        <v>20880</v>
      </c>
      <c r="I454" s="20" t="s">
        <v>242</v>
      </c>
      <c r="J454" s="20" t="str">
        <f>TEXT(SalesHistory[[#This Row],[日付]],"yyyy-mm")</f>
        <v>2026-07</v>
      </c>
      <c r="K454" s="35">
        <f>YEAR(SalesHistory[[#This Row],[日付]])</f>
        <v>2026</v>
      </c>
      <c r="L454" s="35">
        <f>MONTH(SalesHistory[[#This Row],[日付]])</f>
        <v>7</v>
      </c>
    </row>
    <row r="455" spans="1:12" ht="24.95" customHeight="1">
      <c r="A455" s="21">
        <v>46208</v>
      </c>
      <c r="B455" s="20" t="s">
        <v>128</v>
      </c>
      <c r="C455" s="20" t="s">
        <v>234</v>
      </c>
      <c r="D455" s="22">
        <v>22</v>
      </c>
      <c r="E455" s="22">
        <v>3200</v>
      </c>
      <c r="F455" s="22">
        <f t="shared" si="14"/>
        <v>70400</v>
      </c>
      <c r="G455" s="22">
        <v>46464</v>
      </c>
      <c r="H455" s="22">
        <f t="shared" si="15"/>
        <v>23936</v>
      </c>
      <c r="I455" s="20" t="s">
        <v>242</v>
      </c>
      <c r="J455" s="20" t="str">
        <f>TEXT(SalesHistory[[#This Row],[日付]],"yyyy-mm")</f>
        <v>2026-07</v>
      </c>
      <c r="K455" s="35">
        <f>YEAR(SalesHistory[[#This Row],[日付]])</f>
        <v>2026</v>
      </c>
      <c r="L455" s="35">
        <f>MONTH(SalesHistory[[#This Row],[日付]])</f>
        <v>7</v>
      </c>
    </row>
    <row r="456" spans="1:12" ht="24.95" customHeight="1">
      <c r="A456" s="21">
        <v>46218</v>
      </c>
      <c r="B456" s="20" t="s">
        <v>128</v>
      </c>
      <c r="C456" s="20" t="s">
        <v>234</v>
      </c>
      <c r="D456" s="22">
        <v>27</v>
      </c>
      <c r="E456" s="22">
        <v>3200</v>
      </c>
      <c r="F456" s="22">
        <f t="shared" si="14"/>
        <v>86400</v>
      </c>
      <c r="G456" s="22">
        <v>57024</v>
      </c>
      <c r="H456" s="22">
        <f t="shared" si="15"/>
        <v>29376</v>
      </c>
      <c r="I456" s="20" t="s">
        <v>242</v>
      </c>
      <c r="J456" s="20" t="str">
        <f>TEXT(SalesHistory[[#This Row],[日付]],"yyyy-mm")</f>
        <v>2026-07</v>
      </c>
      <c r="K456" s="35">
        <f>YEAR(SalesHistory[[#This Row],[日付]])</f>
        <v>2026</v>
      </c>
      <c r="L456" s="35">
        <f>MONTH(SalesHistory[[#This Row],[日付]])</f>
        <v>7</v>
      </c>
    </row>
    <row r="457" spans="1:12" ht="24.95" customHeight="1">
      <c r="A457" s="21">
        <v>46228</v>
      </c>
      <c r="B457" s="20" t="s">
        <v>128</v>
      </c>
      <c r="C457" s="20" t="s">
        <v>234</v>
      </c>
      <c r="D457" s="22">
        <v>32</v>
      </c>
      <c r="E457" s="22">
        <v>3200</v>
      </c>
      <c r="F457" s="22">
        <f t="shared" si="14"/>
        <v>102400</v>
      </c>
      <c r="G457" s="22">
        <v>67584</v>
      </c>
      <c r="H457" s="22">
        <f t="shared" si="15"/>
        <v>34816</v>
      </c>
      <c r="I457" s="20" t="s">
        <v>242</v>
      </c>
      <c r="J457" s="20" t="str">
        <f>TEXT(SalesHistory[[#This Row],[日付]],"yyyy-mm")</f>
        <v>2026-07</v>
      </c>
      <c r="K457" s="35">
        <f>YEAR(SalesHistory[[#This Row],[日付]])</f>
        <v>2026</v>
      </c>
      <c r="L457" s="35">
        <f>MONTH(SalesHistory[[#This Row],[日付]])</f>
        <v>7</v>
      </c>
    </row>
    <row r="458" spans="1:12" ht="24.95" customHeight="1">
      <c r="A458" s="21">
        <v>46208</v>
      </c>
      <c r="B458" s="20" t="s">
        <v>128</v>
      </c>
      <c r="C458" s="20" t="s">
        <v>235</v>
      </c>
      <c r="D458" s="22">
        <v>25</v>
      </c>
      <c r="E458" s="22">
        <v>4000</v>
      </c>
      <c r="F458" s="22">
        <f t="shared" si="14"/>
        <v>100000</v>
      </c>
      <c r="G458" s="22">
        <v>72000</v>
      </c>
      <c r="H458" s="22">
        <f t="shared" si="15"/>
        <v>28000</v>
      </c>
      <c r="I458" s="20" t="s">
        <v>242</v>
      </c>
      <c r="J458" s="20" t="str">
        <f>TEXT(SalesHistory[[#This Row],[日付]],"yyyy-mm")</f>
        <v>2026-07</v>
      </c>
      <c r="K458" s="35">
        <f>YEAR(SalesHistory[[#This Row],[日付]])</f>
        <v>2026</v>
      </c>
      <c r="L458" s="35">
        <f>MONTH(SalesHistory[[#This Row],[日付]])</f>
        <v>7</v>
      </c>
    </row>
    <row r="459" spans="1:12" ht="24.95" customHeight="1">
      <c r="A459" s="21">
        <v>46218</v>
      </c>
      <c r="B459" s="20" t="s">
        <v>128</v>
      </c>
      <c r="C459" s="20" t="s">
        <v>235</v>
      </c>
      <c r="D459" s="22">
        <v>30</v>
      </c>
      <c r="E459" s="22">
        <v>4000</v>
      </c>
      <c r="F459" s="22">
        <f t="shared" si="14"/>
        <v>120000</v>
      </c>
      <c r="G459" s="22">
        <v>86400</v>
      </c>
      <c r="H459" s="22">
        <f t="shared" si="15"/>
        <v>33600</v>
      </c>
      <c r="I459" s="20" t="s">
        <v>242</v>
      </c>
      <c r="J459" s="20" t="str">
        <f>TEXT(SalesHistory[[#This Row],[日付]],"yyyy-mm")</f>
        <v>2026-07</v>
      </c>
      <c r="K459" s="35">
        <f>YEAR(SalesHistory[[#This Row],[日付]])</f>
        <v>2026</v>
      </c>
      <c r="L459" s="35">
        <f>MONTH(SalesHistory[[#This Row],[日付]])</f>
        <v>7</v>
      </c>
    </row>
    <row r="460" spans="1:12" ht="24.95" customHeight="1">
      <c r="A460" s="21">
        <v>46228</v>
      </c>
      <c r="B460" s="20" t="s">
        <v>128</v>
      </c>
      <c r="C460" s="20" t="s">
        <v>235</v>
      </c>
      <c r="D460" s="22">
        <v>35</v>
      </c>
      <c r="E460" s="22">
        <v>4000</v>
      </c>
      <c r="F460" s="22">
        <f t="shared" si="14"/>
        <v>140000</v>
      </c>
      <c r="G460" s="22">
        <v>100800</v>
      </c>
      <c r="H460" s="22">
        <f t="shared" si="15"/>
        <v>39200</v>
      </c>
      <c r="I460" s="20" t="s">
        <v>242</v>
      </c>
      <c r="J460" s="20" t="str">
        <f>TEXT(SalesHistory[[#This Row],[日付]],"yyyy-mm")</f>
        <v>2026-07</v>
      </c>
      <c r="K460" s="35">
        <f>YEAR(SalesHistory[[#This Row],[日付]])</f>
        <v>2026</v>
      </c>
      <c r="L460" s="35">
        <f>MONTH(SalesHistory[[#This Row],[日付]])</f>
        <v>7</v>
      </c>
    </row>
    <row r="461" spans="1:12" ht="24.95" customHeight="1">
      <c r="A461" s="21">
        <v>46239</v>
      </c>
      <c r="B461" s="20" t="s">
        <v>2</v>
      </c>
      <c r="C461" s="20" t="s">
        <v>56</v>
      </c>
      <c r="D461" s="22">
        <v>10</v>
      </c>
      <c r="E461" s="22">
        <v>50000</v>
      </c>
      <c r="F461" s="22">
        <f t="shared" si="14"/>
        <v>500000</v>
      </c>
      <c r="G461" s="22">
        <v>330000</v>
      </c>
      <c r="H461" s="22">
        <f t="shared" si="15"/>
        <v>170000</v>
      </c>
      <c r="I461" s="20" t="s">
        <v>242</v>
      </c>
      <c r="J461" s="20" t="str">
        <f>TEXT(SalesHistory[[#This Row],[日付]],"yyyy-mm")</f>
        <v>2026-08</v>
      </c>
      <c r="K461" s="35">
        <f>YEAR(SalesHistory[[#This Row],[日付]])</f>
        <v>2026</v>
      </c>
      <c r="L461" s="35">
        <f>MONTH(SalesHistory[[#This Row],[日付]])</f>
        <v>8</v>
      </c>
    </row>
    <row r="462" spans="1:12" ht="24.95" customHeight="1">
      <c r="A462" s="21">
        <v>46249</v>
      </c>
      <c r="B462" s="20" t="s">
        <v>2</v>
      </c>
      <c r="C462" s="20" t="s">
        <v>56</v>
      </c>
      <c r="D462" s="22">
        <v>15</v>
      </c>
      <c r="E462" s="22">
        <v>50000</v>
      </c>
      <c r="F462" s="22">
        <f t="shared" si="14"/>
        <v>750000</v>
      </c>
      <c r="G462" s="22">
        <v>495000</v>
      </c>
      <c r="H462" s="22">
        <f t="shared" si="15"/>
        <v>255000</v>
      </c>
      <c r="I462" s="20" t="s">
        <v>242</v>
      </c>
      <c r="J462" s="20" t="str">
        <f>TEXT(SalesHistory[[#This Row],[日付]],"yyyy-mm")</f>
        <v>2026-08</v>
      </c>
      <c r="K462" s="35">
        <f>YEAR(SalesHistory[[#This Row],[日付]])</f>
        <v>2026</v>
      </c>
      <c r="L462" s="35">
        <f>MONTH(SalesHistory[[#This Row],[日付]])</f>
        <v>8</v>
      </c>
    </row>
    <row r="463" spans="1:12" ht="24.95" customHeight="1">
      <c r="A463" s="21">
        <v>46259</v>
      </c>
      <c r="B463" s="20" t="s">
        <v>2</v>
      </c>
      <c r="C463" s="20" t="s">
        <v>56</v>
      </c>
      <c r="D463" s="22">
        <v>3</v>
      </c>
      <c r="E463" s="22">
        <v>50000</v>
      </c>
      <c r="F463" s="22">
        <f t="shared" si="14"/>
        <v>150000</v>
      </c>
      <c r="G463" s="22">
        <v>99000</v>
      </c>
      <c r="H463" s="22">
        <f t="shared" si="15"/>
        <v>51000</v>
      </c>
      <c r="I463" s="20" t="s">
        <v>242</v>
      </c>
      <c r="J463" s="20" t="str">
        <f>TEXT(SalesHistory[[#This Row],[日付]],"yyyy-mm")</f>
        <v>2026-08</v>
      </c>
      <c r="K463" s="35">
        <f>YEAR(SalesHistory[[#This Row],[日付]])</f>
        <v>2026</v>
      </c>
      <c r="L463" s="35">
        <f>MONTH(SalesHistory[[#This Row],[日付]])</f>
        <v>8</v>
      </c>
    </row>
    <row r="464" spans="1:12" ht="24.95" customHeight="1">
      <c r="A464" s="21">
        <v>46239</v>
      </c>
      <c r="B464" s="20" t="s">
        <v>2</v>
      </c>
      <c r="C464" s="20" t="s">
        <v>60</v>
      </c>
      <c r="D464" s="22">
        <v>13</v>
      </c>
      <c r="E464" s="22">
        <v>15000</v>
      </c>
      <c r="F464" s="22">
        <f t="shared" si="14"/>
        <v>195000</v>
      </c>
      <c r="G464" s="22">
        <v>140400</v>
      </c>
      <c r="H464" s="22">
        <f t="shared" si="15"/>
        <v>54600</v>
      </c>
      <c r="I464" s="20" t="s">
        <v>242</v>
      </c>
      <c r="J464" s="20" t="str">
        <f>TEXT(SalesHistory[[#This Row],[日付]],"yyyy-mm")</f>
        <v>2026-08</v>
      </c>
      <c r="K464" s="35">
        <f>YEAR(SalesHistory[[#This Row],[日付]])</f>
        <v>2026</v>
      </c>
      <c r="L464" s="35">
        <f>MONTH(SalesHistory[[#This Row],[日付]])</f>
        <v>8</v>
      </c>
    </row>
    <row r="465" spans="1:12" ht="24.95" customHeight="1">
      <c r="A465" s="21">
        <v>46249</v>
      </c>
      <c r="B465" s="20" t="s">
        <v>2</v>
      </c>
      <c r="C465" s="20" t="s">
        <v>60</v>
      </c>
      <c r="D465" s="22">
        <v>18</v>
      </c>
      <c r="E465" s="22">
        <v>15000</v>
      </c>
      <c r="F465" s="22">
        <f t="shared" si="14"/>
        <v>270000</v>
      </c>
      <c r="G465" s="22">
        <v>194400</v>
      </c>
      <c r="H465" s="22">
        <f t="shared" si="15"/>
        <v>75600</v>
      </c>
      <c r="I465" s="20" t="s">
        <v>242</v>
      </c>
      <c r="J465" s="20" t="str">
        <f>TEXT(SalesHistory[[#This Row],[日付]],"yyyy-mm")</f>
        <v>2026-08</v>
      </c>
      <c r="K465" s="35">
        <f>YEAR(SalesHistory[[#This Row],[日付]])</f>
        <v>2026</v>
      </c>
      <c r="L465" s="35">
        <f>MONTH(SalesHistory[[#This Row],[日付]])</f>
        <v>8</v>
      </c>
    </row>
    <row r="466" spans="1:12" ht="24.95" customHeight="1">
      <c r="A466" s="21">
        <v>46259</v>
      </c>
      <c r="B466" s="20" t="s">
        <v>2</v>
      </c>
      <c r="C466" s="20" t="s">
        <v>60</v>
      </c>
      <c r="D466" s="22">
        <v>6</v>
      </c>
      <c r="E466" s="22">
        <v>15000</v>
      </c>
      <c r="F466" s="22">
        <f t="shared" si="14"/>
        <v>90000</v>
      </c>
      <c r="G466" s="22">
        <v>64800</v>
      </c>
      <c r="H466" s="22">
        <f t="shared" si="15"/>
        <v>25200</v>
      </c>
      <c r="I466" s="20" t="s">
        <v>242</v>
      </c>
      <c r="J466" s="20" t="str">
        <f>TEXT(SalesHistory[[#This Row],[日付]],"yyyy-mm")</f>
        <v>2026-08</v>
      </c>
      <c r="K466" s="35">
        <f>YEAR(SalesHistory[[#This Row],[日付]])</f>
        <v>2026</v>
      </c>
      <c r="L466" s="35">
        <f>MONTH(SalesHistory[[#This Row],[日付]])</f>
        <v>8</v>
      </c>
    </row>
    <row r="467" spans="1:12" ht="24.95" customHeight="1">
      <c r="A467" s="21">
        <v>46239</v>
      </c>
      <c r="B467" s="20" t="s">
        <v>2</v>
      </c>
      <c r="C467" s="20" t="s">
        <v>231</v>
      </c>
      <c r="D467" s="22">
        <v>16</v>
      </c>
      <c r="E467" s="22">
        <v>35000</v>
      </c>
      <c r="F467" s="22">
        <f t="shared" si="14"/>
        <v>560000</v>
      </c>
      <c r="G467" s="22">
        <v>268800</v>
      </c>
      <c r="H467" s="22">
        <f t="shared" si="15"/>
        <v>291200</v>
      </c>
      <c r="I467" s="20" t="s">
        <v>242</v>
      </c>
      <c r="J467" s="20" t="str">
        <f>TEXT(SalesHistory[[#This Row],[日付]],"yyyy-mm")</f>
        <v>2026-08</v>
      </c>
      <c r="K467" s="35">
        <f>YEAR(SalesHistory[[#This Row],[日付]])</f>
        <v>2026</v>
      </c>
      <c r="L467" s="35">
        <f>MONTH(SalesHistory[[#This Row],[日付]])</f>
        <v>8</v>
      </c>
    </row>
    <row r="468" spans="1:12" ht="24.95" customHeight="1">
      <c r="A468" s="21">
        <v>46249</v>
      </c>
      <c r="B468" s="20" t="s">
        <v>2</v>
      </c>
      <c r="C468" s="20" t="s">
        <v>231</v>
      </c>
      <c r="D468" s="22">
        <v>4</v>
      </c>
      <c r="E468" s="22">
        <v>35000</v>
      </c>
      <c r="F468" s="22">
        <f t="shared" si="14"/>
        <v>140000</v>
      </c>
      <c r="G468" s="22">
        <v>67200</v>
      </c>
      <c r="H468" s="22">
        <f t="shared" si="15"/>
        <v>72800</v>
      </c>
      <c r="I468" s="20" t="s">
        <v>242</v>
      </c>
      <c r="J468" s="20" t="str">
        <f>TEXT(SalesHistory[[#This Row],[日付]],"yyyy-mm")</f>
        <v>2026-08</v>
      </c>
      <c r="K468" s="35">
        <f>YEAR(SalesHistory[[#This Row],[日付]])</f>
        <v>2026</v>
      </c>
      <c r="L468" s="35">
        <f>MONTH(SalesHistory[[#This Row],[日付]])</f>
        <v>8</v>
      </c>
    </row>
    <row r="469" spans="1:12" ht="24.95" customHeight="1">
      <c r="A469" s="21">
        <v>46259</v>
      </c>
      <c r="B469" s="20" t="s">
        <v>2</v>
      </c>
      <c r="C469" s="20" t="s">
        <v>231</v>
      </c>
      <c r="D469" s="22">
        <v>9</v>
      </c>
      <c r="E469" s="22">
        <v>35000</v>
      </c>
      <c r="F469" s="22">
        <f t="shared" si="14"/>
        <v>315000</v>
      </c>
      <c r="G469" s="22">
        <v>151200</v>
      </c>
      <c r="H469" s="22">
        <f t="shared" si="15"/>
        <v>163800</v>
      </c>
      <c r="I469" s="20" t="s">
        <v>242</v>
      </c>
      <c r="J469" s="20" t="str">
        <f>TEXT(SalesHistory[[#This Row],[日付]],"yyyy-mm")</f>
        <v>2026-08</v>
      </c>
      <c r="K469" s="35">
        <f>YEAR(SalesHistory[[#This Row],[日付]])</f>
        <v>2026</v>
      </c>
      <c r="L469" s="35">
        <f>MONTH(SalesHistory[[#This Row],[日付]])</f>
        <v>8</v>
      </c>
    </row>
    <row r="470" spans="1:12" ht="24.95" customHeight="1">
      <c r="A470" s="21">
        <v>46239</v>
      </c>
      <c r="B470" s="20" t="s">
        <v>2</v>
      </c>
      <c r="C470" s="20" t="s">
        <v>232</v>
      </c>
      <c r="D470" s="22">
        <v>2</v>
      </c>
      <c r="E470" s="22">
        <v>2500</v>
      </c>
      <c r="F470" s="22">
        <f t="shared" si="14"/>
        <v>5000</v>
      </c>
      <c r="G470" s="22">
        <v>2700</v>
      </c>
      <c r="H470" s="22">
        <f t="shared" si="15"/>
        <v>2300</v>
      </c>
      <c r="I470" s="20" t="s">
        <v>242</v>
      </c>
      <c r="J470" s="20" t="str">
        <f>TEXT(SalesHistory[[#This Row],[日付]],"yyyy-mm")</f>
        <v>2026-08</v>
      </c>
      <c r="K470" s="35">
        <f>YEAR(SalesHistory[[#This Row],[日付]])</f>
        <v>2026</v>
      </c>
      <c r="L470" s="35">
        <f>MONTH(SalesHistory[[#This Row],[日付]])</f>
        <v>8</v>
      </c>
    </row>
    <row r="471" spans="1:12" ht="24.95" customHeight="1">
      <c r="A471" s="21">
        <v>46249</v>
      </c>
      <c r="B471" s="20" t="s">
        <v>2</v>
      </c>
      <c r="C471" s="20" t="s">
        <v>232</v>
      </c>
      <c r="D471" s="22">
        <v>7</v>
      </c>
      <c r="E471" s="22">
        <v>2500</v>
      </c>
      <c r="F471" s="22">
        <f t="shared" si="14"/>
        <v>17500</v>
      </c>
      <c r="G471" s="22">
        <v>9450</v>
      </c>
      <c r="H471" s="22">
        <f t="shared" si="15"/>
        <v>8050</v>
      </c>
      <c r="I471" s="20" t="s">
        <v>242</v>
      </c>
      <c r="J471" s="20" t="str">
        <f>TEXT(SalesHistory[[#This Row],[日付]],"yyyy-mm")</f>
        <v>2026-08</v>
      </c>
      <c r="K471" s="35">
        <f>YEAR(SalesHistory[[#This Row],[日付]])</f>
        <v>2026</v>
      </c>
      <c r="L471" s="35">
        <f>MONTH(SalesHistory[[#This Row],[日付]])</f>
        <v>8</v>
      </c>
    </row>
    <row r="472" spans="1:12" ht="24.95" customHeight="1">
      <c r="A472" s="21">
        <v>46259</v>
      </c>
      <c r="B472" s="20" t="s">
        <v>2</v>
      </c>
      <c r="C472" s="20" t="s">
        <v>232</v>
      </c>
      <c r="D472" s="22">
        <v>12</v>
      </c>
      <c r="E472" s="22">
        <v>2500</v>
      </c>
      <c r="F472" s="22">
        <f t="shared" si="14"/>
        <v>30000</v>
      </c>
      <c r="G472" s="22">
        <v>16200</v>
      </c>
      <c r="H472" s="22">
        <f t="shared" si="15"/>
        <v>13800</v>
      </c>
      <c r="I472" s="20" t="s">
        <v>242</v>
      </c>
      <c r="J472" s="20" t="str">
        <f>TEXT(SalesHistory[[#This Row],[日付]],"yyyy-mm")</f>
        <v>2026-08</v>
      </c>
      <c r="K472" s="35">
        <f>YEAR(SalesHistory[[#This Row],[日付]])</f>
        <v>2026</v>
      </c>
      <c r="L472" s="35">
        <f>MONTH(SalesHistory[[#This Row],[日付]])</f>
        <v>8</v>
      </c>
    </row>
    <row r="473" spans="1:12" ht="24.95" customHeight="1">
      <c r="A473" s="21">
        <v>46239</v>
      </c>
      <c r="B473" s="20" t="s">
        <v>128</v>
      </c>
      <c r="C473" s="20" t="s">
        <v>148</v>
      </c>
      <c r="D473" s="22">
        <v>23</v>
      </c>
      <c r="E473" s="22">
        <v>2000</v>
      </c>
      <c r="F473" s="22">
        <f t="shared" si="14"/>
        <v>46000</v>
      </c>
      <c r="G473" s="22">
        <v>27600</v>
      </c>
      <c r="H473" s="22">
        <f t="shared" si="15"/>
        <v>18400</v>
      </c>
      <c r="I473" s="20" t="s">
        <v>242</v>
      </c>
      <c r="J473" s="20" t="str">
        <f>TEXT(SalesHistory[[#This Row],[日付]],"yyyy-mm")</f>
        <v>2026-08</v>
      </c>
      <c r="K473" s="35">
        <f>YEAR(SalesHistory[[#This Row],[日付]])</f>
        <v>2026</v>
      </c>
      <c r="L473" s="35">
        <f>MONTH(SalesHistory[[#This Row],[日付]])</f>
        <v>8</v>
      </c>
    </row>
    <row r="474" spans="1:12" ht="24.95" customHeight="1">
      <c r="A474" s="21">
        <v>46249</v>
      </c>
      <c r="B474" s="20" t="s">
        <v>128</v>
      </c>
      <c r="C474" s="20" t="s">
        <v>148</v>
      </c>
      <c r="D474" s="22">
        <v>28</v>
      </c>
      <c r="E474" s="22">
        <v>2000</v>
      </c>
      <c r="F474" s="22">
        <f t="shared" si="14"/>
        <v>56000</v>
      </c>
      <c r="G474" s="22">
        <v>33600</v>
      </c>
      <c r="H474" s="22">
        <f t="shared" si="15"/>
        <v>22400</v>
      </c>
      <c r="I474" s="20" t="s">
        <v>242</v>
      </c>
      <c r="J474" s="20" t="str">
        <f>TEXT(SalesHistory[[#This Row],[日付]],"yyyy-mm")</f>
        <v>2026-08</v>
      </c>
      <c r="K474" s="35">
        <f>YEAR(SalesHistory[[#This Row],[日付]])</f>
        <v>2026</v>
      </c>
      <c r="L474" s="35">
        <f>MONTH(SalesHistory[[#This Row],[日付]])</f>
        <v>8</v>
      </c>
    </row>
    <row r="475" spans="1:12" ht="24.95" customHeight="1">
      <c r="A475" s="21">
        <v>46259</v>
      </c>
      <c r="B475" s="20" t="s">
        <v>128</v>
      </c>
      <c r="C475" s="20" t="s">
        <v>148</v>
      </c>
      <c r="D475" s="22">
        <v>33</v>
      </c>
      <c r="E475" s="22">
        <v>2000</v>
      </c>
      <c r="F475" s="22">
        <f t="shared" si="14"/>
        <v>66000</v>
      </c>
      <c r="G475" s="22">
        <v>39600</v>
      </c>
      <c r="H475" s="22">
        <f t="shared" si="15"/>
        <v>26400</v>
      </c>
      <c r="I475" s="20" t="s">
        <v>242</v>
      </c>
      <c r="J475" s="20" t="str">
        <f>TEXT(SalesHistory[[#This Row],[日付]],"yyyy-mm")</f>
        <v>2026-08</v>
      </c>
      <c r="K475" s="35">
        <f>YEAR(SalesHistory[[#This Row],[日付]])</f>
        <v>2026</v>
      </c>
      <c r="L475" s="35">
        <f>MONTH(SalesHistory[[#This Row],[日付]])</f>
        <v>8</v>
      </c>
    </row>
    <row r="476" spans="1:12" ht="24.95" customHeight="1">
      <c r="A476" s="21">
        <v>46239</v>
      </c>
      <c r="B476" s="20" t="s">
        <v>128</v>
      </c>
      <c r="C476" s="20" t="s">
        <v>233</v>
      </c>
      <c r="D476" s="22">
        <v>26</v>
      </c>
      <c r="E476" s="22">
        <v>1800</v>
      </c>
      <c r="F476" s="22">
        <f t="shared" si="14"/>
        <v>46800</v>
      </c>
      <c r="G476" s="22">
        <v>30888</v>
      </c>
      <c r="H476" s="22">
        <f t="shared" si="15"/>
        <v>15912</v>
      </c>
      <c r="I476" s="20" t="s">
        <v>242</v>
      </c>
      <c r="J476" s="20" t="str">
        <f>TEXT(SalesHistory[[#This Row],[日付]],"yyyy-mm")</f>
        <v>2026-08</v>
      </c>
      <c r="K476" s="35">
        <f>YEAR(SalesHistory[[#This Row],[日付]])</f>
        <v>2026</v>
      </c>
      <c r="L476" s="35">
        <f>MONTH(SalesHistory[[#This Row],[日付]])</f>
        <v>8</v>
      </c>
    </row>
    <row r="477" spans="1:12" ht="24.95" customHeight="1">
      <c r="A477" s="21">
        <v>46249</v>
      </c>
      <c r="B477" s="20" t="s">
        <v>128</v>
      </c>
      <c r="C477" s="20" t="s">
        <v>233</v>
      </c>
      <c r="D477" s="22">
        <v>31</v>
      </c>
      <c r="E477" s="22">
        <v>1800</v>
      </c>
      <c r="F477" s="22">
        <f t="shared" si="14"/>
        <v>55800</v>
      </c>
      <c r="G477" s="22">
        <v>36828</v>
      </c>
      <c r="H477" s="22">
        <f t="shared" si="15"/>
        <v>18972</v>
      </c>
      <c r="I477" s="20" t="s">
        <v>242</v>
      </c>
      <c r="J477" s="20" t="str">
        <f>TEXT(SalesHistory[[#This Row],[日付]],"yyyy-mm")</f>
        <v>2026-08</v>
      </c>
      <c r="K477" s="35">
        <f>YEAR(SalesHistory[[#This Row],[日付]])</f>
        <v>2026</v>
      </c>
      <c r="L477" s="35">
        <f>MONTH(SalesHistory[[#This Row],[日付]])</f>
        <v>8</v>
      </c>
    </row>
    <row r="478" spans="1:12" ht="24.95" customHeight="1">
      <c r="A478" s="21">
        <v>46259</v>
      </c>
      <c r="B478" s="20" t="s">
        <v>128</v>
      </c>
      <c r="C478" s="20" t="s">
        <v>233</v>
      </c>
      <c r="D478" s="22">
        <v>36</v>
      </c>
      <c r="E478" s="22">
        <v>1800</v>
      </c>
      <c r="F478" s="22">
        <f t="shared" si="14"/>
        <v>64800</v>
      </c>
      <c r="G478" s="22">
        <v>42768</v>
      </c>
      <c r="H478" s="22">
        <f t="shared" si="15"/>
        <v>22032</v>
      </c>
      <c r="I478" s="20" t="s">
        <v>242</v>
      </c>
      <c r="J478" s="20" t="str">
        <f>TEXT(SalesHistory[[#This Row],[日付]],"yyyy-mm")</f>
        <v>2026-08</v>
      </c>
      <c r="K478" s="35">
        <f>YEAR(SalesHistory[[#This Row],[日付]])</f>
        <v>2026</v>
      </c>
      <c r="L478" s="35">
        <f>MONTH(SalesHistory[[#This Row],[日付]])</f>
        <v>8</v>
      </c>
    </row>
    <row r="479" spans="1:12" ht="24.95" customHeight="1">
      <c r="A479" s="21">
        <v>46239</v>
      </c>
      <c r="B479" s="20" t="s">
        <v>128</v>
      </c>
      <c r="C479" s="20" t="s">
        <v>234</v>
      </c>
      <c r="D479" s="22">
        <v>29</v>
      </c>
      <c r="E479" s="22">
        <v>3200</v>
      </c>
      <c r="F479" s="22">
        <f t="shared" si="14"/>
        <v>92800</v>
      </c>
      <c r="G479" s="22">
        <v>66816</v>
      </c>
      <c r="H479" s="22">
        <f t="shared" si="15"/>
        <v>25984</v>
      </c>
      <c r="I479" s="20" t="s">
        <v>242</v>
      </c>
      <c r="J479" s="20" t="str">
        <f>TEXT(SalesHistory[[#This Row],[日付]],"yyyy-mm")</f>
        <v>2026-08</v>
      </c>
      <c r="K479" s="35">
        <f>YEAR(SalesHistory[[#This Row],[日付]])</f>
        <v>2026</v>
      </c>
      <c r="L479" s="35">
        <f>MONTH(SalesHistory[[#This Row],[日付]])</f>
        <v>8</v>
      </c>
    </row>
    <row r="480" spans="1:12" ht="24.95" customHeight="1">
      <c r="A480" s="21">
        <v>46249</v>
      </c>
      <c r="B480" s="20" t="s">
        <v>128</v>
      </c>
      <c r="C480" s="20" t="s">
        <v>234</v>
      </c>
      <c r="D480" s="22">
        <v>34</v>
      </c>
      <c r="E480" s="22">
        <v>3200</v>
      </c>
      <c r="F480" s="22">
        <f t="shared" si="14"/>
        <v>108800</v>
      </c>
      <c r="G480" s="22">
        <v>78336</v>
      </c>
      <c r="H480" s="22">
        <f t="shared" si="15"/>
        <v>30464</v>
      </c>
      <c r="I480" s="20" t="s">
        <v>242</v>
      </c>
      <c r="J480" s="20" t="str">
        <f>TEXT(SalesHistory[[#This Row],[日付]],"yyyy-mm")</f>
        <v>2026-08</v>
      </c>
      <c r="K480" s="35">
        <f>YEAR(SalesHistory[[#This Row],[日付]])</f>
        <v>2026</v>
      </c>
      <c r="L480" s="35">
        <f>MONTH(SalesHistory[[#This Row],[日付]])</f>
        <v>8</v>
      </c>
    </row>
    <row r="481" spans="1:12" ht="24.95" customHeight="1">
      <c r="A481" s="21">
        <v>46259</v>
      </c>
      <c r="B481" s="20" t="s">
        <v>128</v>
      </c>
      <c r="C481" s="20" t="s">
        <v>234</v>
      </c>
      <c r="D481" s="22">
        <v>22</v>
      </c>
      <c r="E481" s="22">
        <v>3200</v>
      </c>
      <c r="F481" s="22">
        <f t="shared" si="14"/>
        <v>70400</v>
      </c>
      <c r="G481" s="22">
        <v>50688</v>
      </c>
      <c r="H481" s="22">
        <f t="shared" si="15"/>
        <v>19712</v>
      </c>
      <c r="I481" s="20" t="s">
        <v>242</v>
      </c>
      <c r="J481" s="20" t="str">
        <f>TEXT(SalesHistory[[#This Row],[日付]],"yyyy-mm")</f>
        <v>2026-08</v>
      </c>
      <c r="K481" s="35">
        <f>YEAR(SalesHistory[[#This Row],[日付]])</f>
        <v>2026</v>
      </c>
      <c r="L481" s="35">
        <f>MONTH(SalesHistory[[#This Row],[日付]])</f>
        <v>8</v>
      </c>
    </row>
    <row r="482" spans="1:12" ht="24.95" customHeight="1">
      <c r="A482" s="21">
        <v>46239</v>
      </c>
      <c r="B482" s="20" t="s">
        <v>128</v>
      </c>
      <c r="C482" s="20" t="s">
        <v>235</v>
      </c>
      <c r="D482" s="22">
        <v>32</v>
      </c>
      <c r="E482" s="22">
        <v>4000</v>
      </c>
      <c r="F482" s="22">
        <f t="shared" si="14"/>
        <v>128000</v>
      </c>
      <c r="G482" s="22">
        <v>61440</v>
      </c>
      <c r="H482" s="22">
        <f t="shared" si="15"/>
        <v>66560</v>
      </c>
      <c r="I482" s="20" t="s">
        <v>242</v>
      </c>
      <c r="J482" s="20" t="str">
        <f>TEXT(SalesHistory[[#This Row],[日付]],"yyyy-mm")</f>
        <v>2026-08</v>
      </c>
      <c r="K482" s="35">
        <f>YEAR(SalesHistory[[#This Row],[日付]])</f>
        <v>2026</v>
      </c>
      <c r="L482" s="35">
        <f>MONTH(SalesHistory[[#This Row],[日付]])</f>
        <v>8</v>
      </c>
    </row>
    <row r="483" spans="1:12" ht="24.95" customHeight="1">
      <c r="A483" s="21">
        <v>46249</v>
      </c>
      <c r="B483" s="20" t="s">
        <v>128</v>
      </c>
      <c r="C483" s="20" t="s">
        <v>235</v>
      </c>
      <c r="D483" s="22">
        <v>20</v>
      </c>
      <c r="E483" s="22">
        <v>4000</v>
      </c>
      <c r="F483" s="22">
        <f t="shared" si="14"/>
        <v>80000</v>
      </c>
      <c r="G483" s="22">
        <v>38400</v>
      </c>
      <c r="H483" s="22">
        <f t="shared" si="15"/>
        <v>41600</v>
      </c>
      <c r="I483" s="20" t="s">
        <v>242</v>
      </c>
      <c r="J483" s="20" t="str">
        <f>TEXT(SalesHistory[[#This Row],[日付]],"yyyy-mm")</f>
        <v>2026-08</v>
      </c>
      <c r="K483" s="35">
        <f>YEAR(SalesHistory[[#This Row],[日付]])</f>
        <v>2026</v>
      </c>
      <c r="L483" s="35">
        <f>MONTH(SalesHistory[[#This Row],[日付]])</f>
        <v>8</v>
      </c>
    </row>
    <row r="484" spans="1:12" ht="24.95" customHeight="1">
      <c r="A484" s="21">
        <v>46259</v>
      </c>
      <c r="B484" s="20" t="s">
        <v>128</v>
      </c>
      <c r="C484" s="20" t="s">
        <v>235</v>
      </c>
      <c r="D484" s="22">
        <v>25</v>
      </c>
      <c r="E484" s="22">
        <v>4000</v>
      </c>
      <c r="F484" s="22">
        <f t="shared" si="14"/>
        <v>100000</v>
      </c>
      <c r="G484" s="22">
        <v>48000</v>
      </c>
      <c r="H484" s="22">
        <f t="shared" si="15"/>
        <v>52000</v>
      </c>
      <c r="I484" s="20" t="s">
        <v>242</v>
      </c>
      <c r="J484" s="20" t="str">
        <f>TEXT(SalesHistory[[#This Row],[日付]],"yyyy-mm")</f>
        <v>2026-08</v>
      </c>
      <c r="K484" s="35">
        <f>YEAR(SalesHistory[[#This Row],[日付]])</f>
        <v>2026</v>
      </c>
      <c r="L484" s="35">
        <f>MONTH(SalesHistory[[#This Row],[日付]])</f>
        <v>8</v>
      </c>
    </row>
    <row r="485" spans="1:12" ht="24.95" customHeight="1">
      <c r="A485" s="21">
        <v>46270</v>
      </c>
      <c r="B485" s="20" t="s">
        <v>2</v>
      </c>
      <c r="C485" s="20" t="s">
        <v>56</v>
      </c>
      <c r="D485" s="22">
        <v>17</v>
      </c>
      <c r="E485" s="22">
        <v>50000</v>
      </c>
      <c r="F485" s="22">
        <f t="shared" si="14"/>
        <v>850000</v>
      </c>
      <c r="G485" s="22">
        <v>612000</v>
      </c>
      <c r="H485" s="22">
        <f t="shared" si="15"/>
        <v>238000</v>
      </c>
      <c r="I485" s="20" t="s">
        <v>242</v>
      </c>
      <c r="J485" s="20" t="str">
        <f>TEXT(SalesHistory[[#This Row],[日付]],"yyyy-mm")</f>
        <v>2026-09</v>
      </c>
      <c r="K485" s="35">
        <f>YEAR(SalesHistory[[#This Row],[日付]])</f>
        <v>2026</v>
      </c>
      <c r="L485" s="35">
        <f>MONTH(SalesHistory[[#This Row],[日付]])</f>
        <v>9</v>
      </c>
    </row>
    <row r="486" spans="1:12" ht="24.95" customHeight="1">
      <c r="A486" s="21">
        <v>46280</v>
      </c>
      <c r="B486" s="20" t="s">
        <v>2</v>
      </c>
      <c r="C486" s="20" t="s">
        <v>56</v>
      </c>
      <c r="D486" s="22">
        <v>5</v>
      </c>
      <c r="E486" s="22">
        <v>50000</v>
      </c>
      <c r="F486" s="22">
        <f t="shared" si="14"/>
        <v>250000</v>
      </c>
      <c r="G486" s="22">
        <v>180000</v>
      </c>
      <c r="H486" s="22">
        <f t="shared" si="15"/>
        <v>70000</v>
      </c>
      <c r="I486" s="20" t="s">
        <v>242</v>
      </c>
      <c r="J486" s="20" t="str">
        <f>TEXT(SalesHistory[[#This Row],[日付]],"yyyy-mm")</f>
        <v>2026-09</v>
      </c>
      <c r="K486" s="35">
        <f>YEAR(SalesHistory[[#This Row],[日付]])</f>
        <v>2026</v>
      </c>
      <c r="L486" s="35">
        <f>MONTH(SalesHistory[[#This Row],[日付]])</f>
        <v>9</v>
      </c>
    </row>
    <row r="487" spans="1:12" ht="24.95" customHeight="1">
      <c r="A487" s="21">
        <v>46290</v>
      </c>
      <c r="B487" s="20" t="s">
        <v>2</v>
      </c>
      <c r="C487" s="20" t="s">
        <v>56</v>
      </c>
      <c r="D487" s="22">
        <v>10</v>
      </c>
      <c r="E487" s="22">
        <v>50000</v>
      </c>
      <c r="F487" s="22">
        <f t="shared" si="14"/>
        <v>500000</v>
      </c>
      <c r="G487" s="22">
        <v>360000</v>
      </c>
      <c r="H487" s="22">
        <f t="shared" si="15"/>
        <v>140000</v>
      </c>
      <c r="I487" s="20" t="s">
        <v>242</v>
      </c>
      <c r="J487" s="20" t="str">
        <f>TEXT(SalesHistory[[#This Row],[日付]],"yyyy-mm")</f>
        <v>2026-09</v>
      </c>
      <c r="K487" s="35">
        <f>YEAR(SalesHistory[[#This Row],[日付]])</f>
        <v>2026</v>
      </c>
      <c r="L487" s="35">
        <f>MONTH(SalesHistory[[#This Row],[日付]])</f>
        <v>9</v>
      </c>
    </row>
    <row r="488" spans="1:12" ht="24.95" customHeight="1">
      <c r="A488" s="21">
        <v>46270</v>
      </c>
      <c r="B488" s="20" t="s">
        <v>2</v>
      </c>
      <c r="C488" s="20" t="s">
        <v>60</v>
      </c>
      <c r="D488" s="22">
        <v>3</v>
      </c>
      <c r="E488" s="22">
        <v>15000</v>
      </c>
      <c r="F488" s="22">
        <f t="shared" si="14"/>
        <v>45000</v>
      </c>
      <c r="G488" s="22">
        <v>21600</v>
      </c>
      <c r="H488" s="22">
        <f t="shared" si="15"/>
        <v>23400</v>
      </c>
      <c r="I488" s="20" t="s">
        <v>242</v>
      </c>
      <c r="J488" s="20" t="str">
        <f>TEXT(SalesHistory[[#This Row],[日付]],"yyyy-mm")</f>
        <v>2026-09</v>
      </c>
      <c r="K488" s="35">
        <f>YEAR(SalesHistory[[#This Row],[日付]])</f>
        <v>2026</v>
      </c>
      <c r="L488" s="35">
        <f>MONTH(SalesHistory[[#This Row],[日付]])</f>
        <v>9</v>
      </c>
    </row>
    <row r="489" spans="1:12" ht="24.95" customHeight="1">
      <c r="A489" s="21">
        <v>46280</v>
      </c>
      <c r="B489" s="20" t="s">
        <v>2</v>
      </c>
      <c r="C489" s="20" t="s">
        <v>60</v>
      </c>
      <c r="D489" s="22">
        <v>8</v>
      </c>
      <c r="E489" s="22">
        <v>15000</v>
      </c>
      <c r="F489" s="22">
        <f t="shared" si="14"/>
        <v>120000</v>
      </c>
      <c r="G489" s="22">
        <v>57600</v>
      </c>
      <c r="H489" s="22">
        <f t="shared" si="15"/>
        <v>62400</v>
      </c>
      <c r="I489" s="20" t="s">
        <v>242</v>
      </c>
      <c r="J489" s="20" t="str">
        <f>TEXT(SalesHistory[[#This Row],[日付]],"yyyy-mm")</f>
        <v>2026-09</v>
      </c>
      <c r="K489" s="35">
        <f>YEAR(SalesHistory[[#This Row],[日付]])</f>
        <v>2026</v>
      </c>
      <c r="L489" s="35">
        <f>MONTH(SalesHistory[[#This Row],[日付]])</f>
        <v>9</v>
      </c>
    </row>
    <row r="490" spans="1:12" ht="24.95" customHeight="1">
      <c r="A490" s="21">
        <v>46290</v>
      </c>
      <c r="B490" s="20" t="s">
        <v>2</v>
      </c>
      <c r="C490" s="20" t="s">
        <v>60</v>
      </c>
      <c r="D490" s="22">
        <v>13</v>
      </c>
      <c r="E490" s="22">
        <v>15000</v>
      </c>
      <c r="F490" s="22">
        <f t="shared" si="14"/>
        <v>195000</v>
      </c>
      <c r="G490" s="22">
        <v>93600</v>
      </c>
      <c r="H490" s="22">
        <f t="shared" si="15"/>
        <v>101400</v>
      </c>
      <c r="I490" s="20" t="s">
        <v>242</v>
      </c>
      <c r="J490" s="20" t="str">
        <f>TEXT(SalesHistory[[#This Row],[日付]],"yyyy-mm")</f>
        <v>2026-09</v>
      </c>
      <c r="K490" s="35">
        <f>YEAR(SalesHistory[[#This Row],[日付]])</f>
        <v>2026</v>
      </c>
      <c r="L490" s="35">
        <f>MONTH(SalesHistory[[#This Row],[日付]])</f>
        <v>9</v>
      </c>
    </row>
    <row r="491" spans="1:12" ht="24.95" customHeight="1">
      <c r="A491" s="21">
        <v>46270</v>
      </c>
      <c r="B491" s="20" t="s">
        <v>2</v>
      </c>
      <c r="C491" s="20" t="s">
        <v>231</v>
      </c>
      <c r="D491" s="22">
        <v>6</v>
      </c>
      <c r="E491" s="22">
        <v>35000</v>
      </c>
      <c r="F491" s="22">
        <f t="shared" si="14"/>
        <v>210000</v>
      </c>
      <c r="G491" s="22">
        <v>113400</v>
      </c>
      <c r="H491" s="22">
        <f t="shared" si="15"/>
        <v>96600</v>
      </c>
      <c r="I491" s="20" t="s">
        <v>242</v>
      </c>
      <c r="J491" s="20" t="str">
        <f>TEXT(SalesHistory[[#This Row],[日付]],"yyyy-mm")</f>
        <v>2026-09</v>
      </c>
      <c r="K491" s="35">
        <f>YEAR(SalesHistory[[#This Row],[日付]])</f>
        <v>2026</v>
      </c>
      <c r="L491" s="35">
        <f>MONTH(SalesHistory[[#This Row],[日付]])</f>
        <v>9</v>
      </c>
    </row>
    <row r="492" spans="1:12" ht="24.95" customHeight="1">
      <c r="A492" s="21">
        <v>46280</v>
      </c>
      <c r="B492" s="20" t="s">
        <v>2</v>
      </c>
      <c r="C492" s="20" t="s">
        <v>231</v>
      </c>
      <c r="D492" s="22">
        <v>11</v>
      </c>
      <c r="E492" s="22">
        <v>35000</v>
      </c>
      <c r="F492" s="22">
        <f t="shared" si="14"/>
        <v>385000</v>
      </c>
      <c r="G492" s="22">
        <v>207900</v>
      </c>
      <c r="H492" s="22">
        <f t="shared" si="15"/>
        <v>177100</v>
      </c>
      <c r="I492" s="20" t="s">
        <v>242</v>
      </c>
      <c r="J492" s="20" t="str">
        <f>TEXT(SalesHistory[[#This Row],[日付]],"yyyy-mm")</f>
        <v>2026-09</v>
      </c>
      <c r="K492" s="35">
        <f>YEAR(SalesHistory[[#This Row],[日付]])</f>
        <v>2026</v>
      </c>
      <c r="L492" s="35">
        <f>MONTH(SalesHistory[[#This Row],[日付]])</f>
        <v>9</v>
      </c>
    </row>
    <row r="493" spans="1:12" ht="24.95" customHeight="1">
      <c r="A493" s="21">
        <v>46290</v>
      </c>
      <c r="B493" s="20" t="s">
        <v>2</v>
      </c>
      <c r="C493" s="20" t="s">
        <v>231</v>
      </c>
      <c r="D493" s="22">
        <v>16</v>
      </c>
      <c r="E493" s="22">
        <v>35000</v>
      </c>
      <c r="F493" s="22">
        <f t="shared" si="14"/>
        <v>560000</v>
      </c>
      <c r="G493" s="22">
        <v>302400</v>
      </c>
      <c r="H493" s="22">
        <f t="shared" si="15"/>
        <v>257600</v>
      </c>
      <c r="I493" s="20" t="s">
        <v>242</v>
      </c>
      <c r="J493" s="20" t="str">
        <f>TEXT(SalesHistory[[#This Row],[日付]],"yyyy-mm")</f>
        <v>2026-09</v>
      </c>
      <c r="K493" s="35">
        <f>YEAR(SalesHistory[[#This Row],[日付]])</f>
        <v>2026</v>
      </c>
      <c r="L493" s="35">
        <f>MONTH(SalesHistory[[#This Row],[日付]])</f>
        <v>9</v>
      </c>
    </row>
    <row r="494" spans="1:12" ht="24.95" customHeight="1">
      <c r="A494" s="21">
        <v>46270</v>
      </c>
      <c r="B494" s="20" t="s">
        <v>2</v>
      </c>
      <c r="C494" s="20" t="s">
        <v>232</v>
      </c>
      <c r="D494" s="22">
        <v>9</v>
      </c>
      <c r="E494" s="22">
        <v>2500</v>
      </c>
      <c r="F494" s="22">
        <f t="shared" si="14"/>
        <v>22500</v>
      </c>
      <c r="G494" s="22">
        <v>13500</v>
      </c>
      <c r="H494" s="22">
        <f t="shared" si="15"/>
        <v>9000</v>
      </c>
      <c r="I494" s="20" t="s">
        <v>242</v>
      </c>
      <c r="J494" s="20" t="str">
        <f>TEXT(SalesHistory[[#This Row],[日付]],"yyyy-mm")</f>
        <v>2026-09</v>
      </c>
      <c r="K494" s="35">
        <f>YEAR(SalesHistory[[#This Row],[日付]])</f>
        <v>2026</v>
      </c>
      <c r="L494" s="35">
        <f>MONTH(SalesHistory[[#This Row],[日付]])</f>
        <v>9</v>
      </c>
    </row>
    <row r="495" spans="1:12" ht="24.95" customHeight="1">
      <c r="A495" s="21">
        <v>46280</v>
      </c>
      <c r="B495" s="20" t="s">
        <v>2</v>
      </c>
      <c r="C495" s="20" t="s">
        <v>232</v>
      </c>
      <c r="D495" s="22">
        <v>14</v>
      </c>
      <c r="E495" s="22">
        <v>2500</v>
      </c>
      <c r="F495" s="22">
        <f t="shared" si="14"/>
        <v>35000</v>
      </c>
      <c r="G495" s="22">
        <v>21000</v>
      </c>
      <c r="H495" s="22">
        <f t="shared" si="15"/>
        <v>14000</v>
      </c>
      <c r="I495" s="20" t="s">
        <v>242</v>
      </c>
      <c r="J495" s="20" t="str">
        <f>TEXT(SalesHistory[[#This Row],[日付]],"yyyy-mm")</f>
        <v>2026-09</v>
      </c>
      <c r="K495" s="35">
        <f>YEAR(SalesHistory[[#This Row],[日付]])</f>
        <v>2026</v>
      </c>
      <c r="L495" s="35">
        <f>MONTH(SalesHistory[[#This Row],[日付]])</f>
        <v>9</v>
      </c>
    </row>
    <row r="496" spans="1:12" ht="24.95" customHeight="1">
      <c r="A496" s="21">
        <v>46290</v>
      </c>
      <c r="B496" s="20" t="s">
        <v>2</v>
      </c>
      <c r="C496" s="20" t="s">
        <v>232</v>
      </c>
      <c r="D496" s="22">
        <v>2</v>
      </c>
      <c r="E496" s="22">
        <v>2500</v>
      </c>
      <c r="F496" s="22">
        <f t="shared" si="14"/>
        <v>5000</v>
      </c>
      <c r="G496" s="22">
        <v>3000</v>
      </c>
      <c r="H496" s="22">
        <f t="shared" si="15"/>
        <v>2000</v>
      </c>
      <c r="I496" s="20" t="s">
        <v>242</v>
      </c>
      <c r="J496" s="20" t="str">
        <f>TEXT(SalesHistory[[#This Row],[日付]],"yyyy-mm")</f>
        <v>2026-09</v>
      </c>
      <c r="K496" s="35">
        <f>YEAR(SalesHistory[[#This Row],[日付]])</f>
        <v>2026</v>
      </c>
      <c r="L496" s="35">
        <f>MONTH(SalesHistory[[#This Row],[日付]])</f>
        <v>9</v>
      </c>
    </row>
    <row r="497" spans="1:12" ht="24.95" customHeight="1">
      <c r="A497" s="21">
        <v>46270</v>
      </c>
      <c r="B497" s="20" t="s">
        <v>128</v>
      </c>
      <c r="C497" s="20" t="s">
        <v>148</v>
      </c>
      <c r="D497" s="22">
        <v>30</v>
      </c>
      <c r="E497" s="22">
        <v>2000</v>
      </c>
      <c r="F497" s="22">
        <f t="shared" si="14"/>
        <v>60000</v>
      </c>
      <c r="G497" s="22">
        <v>39600</v>
      </c>
      <c r="H497" s="22">
        <f t="shared" si="15"/>
        <v>20400</v>
      </c>
      <c r="I497" s="20" t="s">
        <v>242</v>
      </c>
      <c r="J497" s="20" t="str">
        <f>TEXT(SalesHistory[[#This Row],[日付]],"yyyy-mm")</f>
        <v>2026-09</v>
      </c>
      <c r="K497" s="35">
        <f>YEAR(SalesHistory[[#This Row],[日付]])</f>
        <v>2026</v>
      </c>
      <c r="L497" s="35">
        <f>MONTH(SalesHistory[[#This Row],[日付]])</f>
        <v>9</v>
      </c>
    </row>
    <row r="498" spans="1:12" ht="24.95" customHeight="1">
      <c r="A498" s="21">
        <v>46280</v>
      </c>
      <c r="B498" s="20" t="s">
        <v>128</v>
      </c>
      <c r="C498" s="20" t="s">
        <v>148</v>
      </c>
      <c r="D498" s="22">
        <v>35</v>
      </c>
      <c r="E498" s="22">
        <v>2000</v>
      </c>
      <c r="F498" s="22">
        <f t="shared" si="14"/>
        <v>70000</v>
      </c>
      <c r="G498" s="22">
        <v>46200</v>
      </c>
      <c r="H498" s="22">
        <f t="shared" si="15"/>
        <v>23800</v>
      </c>
      <c r="I498" s="20" t="s">
        <v>242</v>
      </c>
      <c r="J498" s="20" t="str">
        <f>TEXT(SalesHistory[[#This Row],[日付]],"yyyy-mm")</f>
        <v>2026-09</v>
      </c>
      <c r="K498" s="35">
        <f>YEAR(SalesHistory[[#This Row],[日付]])</f>
        <v>2026</v>
      </c>
      <c r="L498" s="35">
        <f>MONTH(SalesHistory[[#This Row],[日付]])</f>
        <v>9</v>
      </c>
    </row>
    <row r="499" spans="1:12" ht="24.95" customHeight="1">
      <c r="A499" s="21">
        <v>46290</v>
      </c>
      <c r="B499" s="20" t="s">
        <v>128</v>
      </c>
      <c r="C499" s="20" t="s">
        <v>148</v>
      </c>
      <c r="D499" s="22">
        <v>23</v>
      </c>
      <c r="E499" s="22">
        <v>2000</v>
      </c>
      <c r="F499" s="22">
        <f t="shared" si="14"/>
        <v>46000</v>
      </c>
      <c r="G499" s="22">
        <v>30360</v>
      </c>
      <c r="H499" s="22">
        <f t="shared" si="15"/>
        <v>15640</v>
      </c>
      <c r="I499" s="20" t="s">
        <v>242</v>
      </c>
      <c r="J499" s="20" t="str">
        <f>TEXT(SalesHistory[[#This Row],[日付]],"yyyy-mm")</f>
        <v>2026-09</v>
      </c>
      <c r="K499" s="35">
        <f>YEAR(SalesHistory[[#This Row],[日付]])</f>
        <v>2026</v>
      </c>
      <c r="L499" s="35">
        <f>MONTH(SalesHistory[[#This Row],[日付]])</f>
        <v>9</v>
      </c>
    </row>
    <row r="500" spans="1:12" ht="24.95" customHeight="1">
      <c r="A500" s="21">
        <v>46270</v>
      </c>
      <c r="B500" s="20" t="s">
        <v>128</v>
      </c>
      <c r="C500" s="20" t="s">
        <v>233</v>
      </c>
      <c r="D500" s="22">
        <v>33</v>
      </c>
      <c r="E500" s="22">
        <v>1800</v>
      </c>
      <c r="F500" s="22">
        <f t="shared" si="14"/>
        <v>59400</v>
      </c>
      <c r="G500" s="22">
        <v>42768</v>
      </c>
      <c r="H500" s="22">
        <f t="shared" si="15"/>
        <v>16632</v>
      </c>
      <c r="I500" s="20" t="s">
        <v>242</v>
      </c>
      <c r="J500" s="20" t="str">
        <f>TEXT(SalesHistory[[#This Row],[日付]],"yyyy-mm")</f>
        <v>2026-09</v>
      </c>
      <c r="K500" s="35">
        <f>YEAR(SalesHistory[[#This Row],[日付]])</f>
        <v>2026</v>
      </c>
      <c r="L500" s="35">
        <f>MONTH(SalesHistory[[#This Row],[日付]])</f>
        <v>9</v>
      </c>
    </row>
    <row r="501" spans="1:12" ht="24.95" customHeight="1">
      <c r="A501" s="21">
        <v>46280</v>
      </c>
      <c r="B501" s="20" t="s">
        <v>128</v>
      </c>
      <c r="C501" s="20" t="s">
        <v>233</v>
      </c>
      <c r="D501" s="22">
        <v>21</v>
      </c>
      <c r="E501" s="22">
        <v>1800</v>
      </c>
      <c r="F501" s="22">
        <f t="shared" si="14"/>
        <v>37800</v>
      </c>
      <c r="G501" s="22">
        <v>27216</v>
      </c>
      <c r="H501" s="22">
        <f t="shared" si="15"/>
        <v>10584</v>
      </c>
      <c r="I501" s="20" t="s">
        <v>242</v>
      </c>
      <c r="J501" s="20" t="str">
        <f>TEXT(SalesHistory[[#This Row],[日付]],"yyyy-mm")</f>
        <v>2026-09</v>
      </c>
      <c r="K501" s="35">
        <f>YEAR(SalesHistory[[#This Row],[日付]])</f>
        <v>2026</v>
      </c>
      <c r="L501" s="35">
        <f>MONTH(SalesHistory[[#This Row],[日付]])</f>
        <v>9</v>
      </c>
    </row>
    <row r="502" spans="1:12" ht="24.95" customHeight="1">
      <c r="A502" s="21">
        <v>46290</v>
      </c>
      <c r="B502" s="20" t="s">
        <v>128</v>
      </c>
      <c r="C502" s="20" t="s">
        <v>233</v>
      </c>
      <c r="D502" s="22">
        <v>26</v>
      </c>
      <c r="E502" s="22">
        <v>1800</v>
      </c>
      <c r="F502" s="22">
        <f t="shared" si="14"/>
        <v>46800</v>
      </c>
      <c r="G502" s="22">
        <v>33696</v>
      </c>
      <c r="H502" s="22">
        <f t="shared" si="15"/>
        <v>13104</v>
      </c>
      <c r="I502" s="20" t="s">
        <v>242</v>
      </c>
      <c r="J502" s="20" t="str">
        <f>TEXT(SalesHistory[[#This Row],[日付]],"yyyy-mm")</f>
        <v>2026-09</v>
      </c>
      <c r="K502" s="35">
        <f>YEAR(SalesHistory[[#This Row],[日付]])</f>
        <v>2026</v>
      </c>
      <c r="L502" s="35">
        <f>MONTH(SalesHistory[[#This Row],[日付]])</f>
        <v>9</v>
      </c>
    </row>
    <row r="503" spans="1:12" ht="24.95" customHeight="1">
      <c r="A503" s="21">
        <v>46270</v>
      </c>
      <c r="B503" s="20" t="s">
        <v>128</v>
      </c>
      <c r="C503" s="20" t="s">
        <v>234</v>
      </c>
      <c r="D503" s="22">
        <v>36</v>
      </c>
      <c r="E503" s="22">
        <v>3200</v>
      </c>
      <c r="F503" s="22">
        <f t="shared" si="14"/>
        <v>115200</v>
      </c>
      <c r="G503" s="22">
        <v>55296</v>
      </c>
      <c r="H503" s="22">
        <f t="shared" si="15"/>
        <v>59904</v>
      </c>
      <c r="I503" s="20" t="s">
        <v>242</v>
      </c>
      <c r="J503" s="20" t="str">
        <f>TEXT(SalesHistory[[#This Row],[日付]],"yyyy-mm")</f>
        <v>2026-09</v>
      </c>
      <c r="K503" s="35">
        <f>YEAR(SalesHistory[[#This Row],[日付]])</f>
        <v>2026</v>
      </c>
      <c r="L503" s="35">
        <f>MONTH(SalesHistory[[#This Row],[日付]])</f>
        <v>9</v>
      </c>
    </row>
    <row r="504" spans="1:12" ht="24.95" customHeight="1">
      <c r="A504" s="21">
        <v>46280</v>
      </c>
      <c r="B504" s="20" t="s">
        <v>128</v>
      </c>
      <c r="C504" s="20" t="s">
        <v>234</v>
      </c>
      <c r="D504" s="22">
        <v>24</v>
      </c>
      <c r="E504" s="22">
        <v>3200</v>
      </c>
      <c r="F504" s="22">
        <f t="shared" si="14"/>
        <v>76800</v>
      </c>
      <c r="G504" s="22">
        <v>36864</v>
      </c>
      <c r="H504" s="22">
        <f t="shared" si="15"/>
        <v>39936</v>
      </c>
      <c r="I504" s="20" t="s">
        <v>242</v>
      </c>
      <c r="J504" s="20" t="str">
        <f>TEXT(SalesHistory[[#This Row],[日付]],"yyyy-mm")</f>
        <v>2026-09</v>
      </c>
      <c r="K504" s="35">
        <f>YEAR(SalesHistory[[#This Row],[日付]])</f>
        <v>2026</v>
      </c>
      <c r="L504" s="35">
        <f>MONTH(SalesHistory[[#This Row],[日付]])</f>
        <v>9</v>
      </c>
    </row>
    <row r="505" spans="1:12" ht="24.95" customHeight="1">
      <c r="A505" s="21">
        <v>46290</v>
      </c>
      <c r="B505" s="20" t="s">
        <v>128</v>
      </c>
      <c r="C505" s="20" t="s">
        <v>234</v>
      </c>
      <c r="D505" s="22">
        <v>29</v>
      </c>
      <c r="E505" s="22">
        <v>3200</v>
      </c>
      <c r="F505" s="22">
        <f t="shared" si="14"/>
        <v>92800</v>
      </c>
      <c r="G505" s="22">
        <v>44544</v>
      </c>
      <c r="H505" s="22">
        <f t="shared" si="15"/>
        <v>48256</v>
      </c>
      <c r="I505" s="20" t="s">
        <v>242</v>
      </c>
      <c r="J505" s="20" t="str">
        <f>TEXT(SalesHistory[[#This Row],[日付]],"yyyy-mm")</f>
        <v>2026-09</v>
      </c>
      <c r="K505" s="35">
        <f>YEAR(SalesHistory[[#This Row],[日付]])</f>
        <v>2026</v>
      </c>
      <c r="L505" s="35">
        <f>MONTH(SalesHistory[[#This Row],[日付]])</f>
        <v>9</v>
      </c>
    </row>
    <row r="506" spans="1:12" ht="24.95" customHeight="1">
      <c r="A506" s="21">
        <v>46270</v>
      </c>
      <c r="B506" s="20" t="s">
        <v>128</v>
      </c>
      <c r="C506" s="20" t="s">
        <v>235</v>
      </c>
      <c r="D506" s="22">
        <v>22</v>
      </c>
      <c r="E506" s="22">
        <v>4000</v>
      </c>
      <c r="F506" s="22">
        <f t="shared" si="14"/>
        <v>88000</v>
      </c>
      <c r="G506" s="22">
        <v>47520</v>
      </c>
      <c r="H506" s="22">
        <f t="shared" si="15"/>
        <v>40480</v>
      </c>
      <c r="I506" s="20" t="s">
        <v>242</v>
      </c>
      <c r="J506" s="20" t="str">
        <f>TEXT(SalesHistory[[#This Row],[日付]],"yyyy-mm")</f>
        <v>2026-09</v>
      </c>
      <c r="K506" s="35">
        <f>YEAR(SalesHistory[[#This Row],[日付]])</f>
        <v>2026</v>
      </c>
      <c r="L506" s="35">
        <f>MONTH(SalesHistory[[#This Row],[日付]])</f>
        <v>9</v>
      </c>
    </row>
    <row r="507" spans="1:12" ht="24.95" customHeight="1">
      <c r="A507" s="21">
        <v>46280</v>
      </c>
      <c r="B507" s="20" t="s">
        <v>128</v>
      </c>
      <c r="C507" s="20" t="s">
        <v>235</v>
      </c>
      <c r="D507" s="22">
        <v>27</v>
      </c>
      <c r="E507" s="22">
        <v>4000</v>
      </c>
      <c r="F507" s="22">
        <f t="shared" si="14"/>
        <v>108000</v>
      </c>
      <c r="G507" s="22">
        <v>58320</v>
      </c>
      <c r="H507" s="22">
        <f t="shared" si="15"/>
        <v>49680</v>
      </c>
      <c r="I507" s="20" t="s">
        <v>242</v>
      </c>
      <c r="J507" s="20" t="str">
        <f>TEXT(SalesHistory[[#This Row],[日付]],"yyyy-mm")</f>
        <v>2026-09</v>
      </c>
      <c r="K507" s="35">
        <f>YEAR(SalesHistory[[#This Row],[日付]])</f>
        <v>2026</v>
      </c>
      <c r="L507" s="35">
        <f>MONTH(SalesHistory[[#This Row],[日付]])</f>
        <v>9</v>
      </c>
    </row>
    <row r="508" spans="1:12" ht="24.95" customHeight="1">
      <c r="A508" s="21">
        <v>46290</v>
      </c>
      <c r="B508" s="20" t="s">
        <v>128</v>
      </c>
      <c r="C508" s="20" t="s">
        <v>235</v>
      </c>
      <c r="D508" s="22">
        <v>32</v>
      </c>
      <c r="E508" s="22">
        <v>4000</v>
      </c>
      <c r="F508" s="22">
        <f t="shared" si="14"/>
        <v>128000</v>
      </c>
      <c r="G508" s="22">
        <v>69120</v>
      </c>
      <c r="H508" s="22">
        <f t="shared" si="15"/>
        <v>58880</v>
      </c>
      <c r="I508" s="20" t="s">
        <v>242</v>
      </c>
      <c r="J508" s="20" t="str">
        <f>TEXT(SalesHistory[[#This Row],[日付]],"yyyy-mm")</f>
        <v>2026-09</v>
      </c>
      <c r="K508" s="35">
        <f>YEAR(SalesHistory[[#This Row],[日付]])</f>
        <v>2026</v>
      </c>
      <c r="L508" s="35">
        <f>MONTH(SalesHistory[[#This Row],[日付]])</f>
        <v>9</v>
      </c>
    </row>
    <row r="509" spans="1:12" ht="24.95" customHeight="1">
      <c r="A509" s="21">
        <v>46300</v>
      </c>
      <c r="B509" s="20" t="s">
        <v>2</v>
      </c>
      <c r="C509" s="20" t="s">
        <v>56</v>
      </c>
      <c r="D509" s="22">
        <v>7</v>
      </c>
      <c r="E509" s="22">
        <v>50000</v>
      </c>
      <c r="F509" s="22">
        <f t="shared" si="14"/>
        <v>350000</v>
      </c>
      <c r="G509" s="22">
        <v>168000</v>
      </c>
      <c r="H509" s="22">
        <f t="shared" si="15"/>
        <v>182000</v>
      </c>
      <c r="I509" s="20" t="s">
        <v>242</v>
      </c>
      <c r="J509" s="20" t="str">
        <f>TEXT(SalesHistory[[#This Row],[日付]],"yyyy-mm")</f>
        <v>2026-10</v>
      </c>
      <c r="K509" s="35">
        <f>YEAR(SalesHistory[[#This Row],[日付]])</f>
        <v>2026</v>
      </c>
      <c r="L509" s="35">
        <f>MONTH(SalesHistory[[#This Row],[日付]])</f>
        <v>10</v>
      </c>
    </row>
    <row r="510" spans="1:12" ht="24.95" customHeight="1">
      <c r="A510" s="21">
        <v>46310</v>
      </c>
      <c r="B510" s="20" t="s">
        <v>2</v>
      </c>
      <c r="C510" s="20" t="s">
        <v>56</v>
      </c>
      <c r="D510" s="22">
        <v>12</v>
      </c>
      <c r="E510" s="22">
        <v>50000</v>
      </c>
      <c r="F510" s="22">
        <f t="shared" si="14"/>
        <v>600000</v>
      </c>
      <c r="G510" s="22">
        <v>288000</v>
      </c>
      <c r="H510" s="22">
        <f t="shared" si="15"/>
        <v>312000</v>
      </c>
      <c r="I510" s="20" t="s">
        <v>242</v>
      </c>
      <c r="J510" s="20" t="str">
        <f>TEXT(SalesHistory[[#This Row],[日付]],"yyyy-mm")</f>
        <v>2026-10</v>
      </c>
      <c r="K510" s="35">
        <f>YEAR(SalesHistory[[#This Row],[日付]])</f>
        <v>2026</v>
      </c>
      <c r="L510" s="35">
        <f>MONTH(SalesHistory[[#This Row],[日付]])</f>
        <v>10</v>
      </c>
    </row>
    <row r="511" spans="1:12" ht="24.95" customHeight="1">
      <c r="A511" s="21">
        <v>46320</v>
      </c>
      <c r="B511" s="20" t="s">
        <v>2</v>
      </c>
      <c r="C511" s="20" t="s">
        <v>56</v>
      </c>
      <c r="D511" s="22">
        <v>17</v>
      </c>
      <c r="E511" s="22">
        <v>50000</v>
      </c>
      <c r="F511" s="22">
        <f t="shared" si="14"/>
        <v>850000</v>
      </c>
      <c r="G511" s="22">
        <v>408000</v>
      </c>
      <c r="H511" s="22">
        <f t="shared" si="15"/>
        <v>442000</v>
      </c>
      <c r="I511" s="20" t="s">
        <v>242</v>
      </c>
      <c r="J511" s="20" t="str">
        <f>TEXT(SalesHistory[[#This Row],[日付]],"yyyy-mm")</f>
        <v>2026-10</v>
      </c>
      <c r="K511" s="35">
        <f>YEAR(SalesHistory[[#This Row],[日付]])</f>
        <v>2026</v>
      </c>
      <c r="L511" s="35">
        <f>MONTH(SalesHistory[[#This Row],[日付]])</f>
        <v>10</v>
      </c>
    </row>
    <row r="512" spans="1:12" ht="24.95" customHeight="1">
      <c r="A512" s="21">
        <v>46300</v>
      </c>
      <c r="B512" s="20" t="s">
        <v>2</v>
      </c>
      <c r="C512" s="20" t="s">
        <v>60</v>
      </c>
      <c r="D512" s="22">
        <v>10</v>
      </c>
      <c r="E512" s="22">
        <v>15000</v>
      </c>
      <c r="F512" s="22">
        <f t="shared" si="14"/>
        <v>150000</v>
      </c>
      <c r="G512" s="22">
        <v>81000</v>
      </c>
      <c r="H512" s="22">
        <f t="shared" si="15"/>
        <v>69000</v>
      </c>
      <c r="I512" s="20" t="s">
        <v>242</v>
      </c>
      <c r="J512" s="20" t="str">
        <f>TEXT(SalesHistory[[#This Row],[日付]],"yyyy-mm")</f>
        <v>2026-10</v>
      </c>
      <c r="K512" s="35">
        <f>YEAR(SalesHistory[[#This Row],[日付]])</f>
        <v>2026</v>
      </c>
      <c r="L512" s="35">
        <f>MONTH(SalesHistory[[#This Row],[日付]])</f>
        <v>10</v>
      </c>
    </row>
    <row r="513" spans="1:12" ht="24.95" customHeight="1">
      <c r="A513" s="21">
        <v>46310</v>
      </c>
      <c r="B513" s="20" t="s">
        <v>2</v>
      </c>
      <c r="C513" s="20" t="s">
        <v>60</v>
      </c>
      <c r="D513" s="22">
        <v>15</v>
      </c>
      <c r="E513" s="22">
        <v>15000</v>
      </c>
      <c r="F513" s="22">
        <f t="shared" si="14"/>
        <v>225000</v>
      </c>
      <c r="G513" s="22">
        <v>121500</v>
      </c>
      <c r="H513" s="22">
        <f t="shared" si="15"/>
        <v>103500</v>
      </c>
      <c r="I513" s="20" t="s">
        <v>242</v>
      </c>
      <c r="J513" s="20" t="str">
        <f>TEXT(SalesHistory[[#This Row],[日付]],"yyyy-mm")</f>
        <v>2026-10</v>
      </c>
      <c r="K513" s="35">
        <f>YEAR(SalesHistory[[#This Row],[日付]])</f>
        <v>2026</v>
      </c>
      <c r="L513" s="35">
        <f>MONTH(SalesHistory[[#This Row],[日付]])</f>
        <v>10</v>
      </c>
    </row>
    <row r="514" spans="1:12" ht="24.95" customHeight="1">
      <c r="A514" s="21">
        <v>46320</v>
      </c>
      <c r="B514" s="20" t="s">
        <v>2</v>
      </c>
      <c r="C514" s="20" t="s">
        <v>60</v>
      </c>
      <c r="D514" s="22">
        <v>3</v>
      </c>
      <c r="E514" s="22">
        <v>15000</v>
      </c>
      <c r="F514" s="22">
        <f t="shared" si="14"/>
        <v>45000</v>
      </c>
      <c r="G514" s="22">
        <v>24300</v>
      </c>
      <c r="H514" s="22">
        <f t="shared" si="15"/>
        <v>20700</v>
      </c>
      <c r="I514" s="20" t="s">
        <v>242</v>
      </c>
      <c r="J514" s="20" t="str">
        <f>TEXT(SalesHistory[[#This Row],[日付]],"yyyy-mm")</f>
        <v>2026-10</v>
      </c>
      <c r="K514" s="35">
        <f>YEAR(SalesHistory[[#This Row],[日付]])</f>
        <v>2026</v>
      </c>
      <c r="L514" s="35">
        <f>MONTH(SalesHistory[[#This Row],[日付]])</f>
        <v>10</v>
      </c>
    </row>
    <row r="515" spans="1:12" ht="24.95" customHeight="1">
      <c r="A515" s="21">
        <v>46300</v>
      </c>
      <c r="B515" s="20" t="s">
        <v>2</v>
      </c>
      <c r="C515" s="20" t="s">
        <v>231</v>
      </c>
      <c r="D515" s="22">
        <v>13</v>
      </c>
      <c r="E515" s="22">
        <v>35000</v>
      </c>
      <c r="F515" s="22">
        <f t="shared" si="14"/>
        <v>455000</v>
      </c>
      <c r="G515" s="22">
        <v>273000</v>
      </c>
      <c r="H515" s="22">
        <f t="shared" si="15"/>
        <v>182000</v>
      </c>
      <c r="I515" s="20" t="s">
        <v>242</v>
      </c>
      <c r="J515" s="20" t="str">
        <f>TEXT(SalesHistory[[#This Row],[日付]],"yyyy-mm")</f>
        <v>2026-10</v>
      </c>
      <c r="K515" s="35">
        <f>YEAR(SalesHistory[[#This Row],[日付]])</f>
        <v>2026</v>
      </c>
      <c r="L515" s="35">
        <f>MONTH(SalesHistory[[#This Row],[日付]])</f>
        <v>10</v>
      </c>
    </row>
    <row r="516" spans="1:12" ht="24.95" customHeight="1">
      <c r="A516" s="21">
        <v>46310</v>
      </c>
      <c r="B516" s="20" t="s">
        <v>2</v>
      </c>
      <c r="C516" s="20" t="s">
        <v>231</v>
      </c>
      <c r="D516" s="22">
        <v>18</v>
      </c>
      <c r="E516" s="22">
        <v>35000</v>
      </c>
      <c r="F516" s="22">
        <f t="shared" si="14"/>
        <v>630000</v>
      </c>
      <c r="G516" s="22">
        <v>378000</v>
      </c>
      <c r="H516" s="22">
        <f t="shared" si="15"/>
        <v>252000</v>
      </c>
      <c r="I516" s="20" t="s">
        <v>242</v>
      </c>
      <c r="J516" s="20" t="str">
        <f>TEXT(SalesHistory[[#This Row],[日付]],"yyyy-mm")</f>
        <v>2026-10</v>
      </c>
      <c r="K516" s="35">
        <f>YEAR(SalesHistory[[#This Row],[日付]])</f>
        <v>2026</v>
      </c>
      <c r="L516" s="35">
        <f>MONTH(SalesHistory[[#This Row],[日付]])</f>
        <v>10</v>
      </c>
    </row>
    <row r="517" spans="1:12" ht="24.95" customHeight="1">
      <c r="A517" s="21">
        <v>46320</v>
      </c>
      <c r="B517" s="20" t="s">
        <v>2</v>
      </c>
      <c r="C517" s="20" t="s">
        <v>231</v>
      </c>
      <c r="D517" s="22">
        <v>6</v>
      </c>
      <c r="E517" s="22">
        <v>35000</v>
      </c>
      <c r="F517" s="22">
        <f t="shared" ref="F517:F580" si="16">ROUND(D517*E517,0)</f>
        <v>210000</v>
      </c>
      <c r="G517" s="22">
        <v>126000</v>
      </c>
      <c r="H517" s="22">
        <f t="shared" ref="H517:H580" si="17">F517-G517</f>
        <v>84000</v>
      </c>
      <c r="I517" s="20" t="s">
        <v>242</v>
      </c>
      <c r="J517" s="20" t="str">
        <f>TEXT(SalesHistory[[#This Row],[日付]],"yyyy-mm")</f>
        <v>2026-10</v>
      </c>
      <c r="K517" s="35">
        <f>YEAR(SalesHistory[[#This Row],[日付]])</f>
        <v>2026</v>
      </c>
      <c r="L517" s="35">
        <f>MONTH(SalesHistory[[#This Row],[日付]])</f>
        <v>10</v>
      </c>
    </row>
    <row r="518" spans="1:12" ht="24.95" customHeight="1">
      <c r="A518" s="21">
        <v>46300</v>
      </c>
      <c r="B518" s="20" t="s">
        <v>2</v>
      </c>
      <c r="C518" s="20" t="s">
        <v>232</v>
      </c>
      <c r="D518" s="22">
        <v>16</v>
      </c>
      <c r="E518" s="22">
        <v>2500</v>
      </c>
      <c r="F518" s="22">
        <f t="shared" si="16"/>
        <v>40000</v>
      </c>
      <c r="G518" s="22">
        <v>26400</v>
      </c>
      <c r="H518" s="22">
        <f t="shared" si="17"/>
        <v>13600</v>
      </c>
      <c r="I518" s="20" t="s">
        <v>242</v>
      </c>
      <c r="J518" s="20" t="str">
        <f>TEXT(SalesHistory[[#This Row],[日付]],"yyyy-mm")</f>
        <v>2026-10</v>
      </c>
      <c r="K518" s="35">
        <f>YEAR(SalesHistory[[#This Row],[日付]])</f>
        <v>2026</v>
      </c>
      <c r="L518" s="35">
        <f>MONTH(SalesHistory[[#This Row],[日付]])</f>
        <v>10</v>
      </c>
    </row>
    <row r="519" spans="1:12" ht="24.95" customHeight="1">
      <c r="A519" s="21">
        <v>46310</v>
      </c>
      <c r="B519" s="20" t="s">
        <v>2</v>
      </c>
      <c r="C519" s="20" t="s">
        <v>232</v>
      </c>
      <c r="D519" s="22">
        <v>4</v>
      </c>
      <c r="E519" s="22">
        <v>2500</v>
      </c>
      <c r="F519" s="22">
        <f t="shared" si="16"/>
        <v>10000</v>
      </c>
      <c r="G519" s="22">
        <v>6600</v>
      </c>
      <c r="H519" s="22">
        <f t="shared" si="17"/>
        <v>3400</v>
      </c>
      <c r="I519" s="20" t="s">
        <v>242</v>
      </c>
      <c r="J519" s="20" t="str">
        <f>TEXT(SalesHistory[[#This Row],[日付]],"yyyy-mm")</f>
        <v>2026-10</v>
      </c>
      <c r="K519" s="35">
        <f>YEAR(SalesHistory[[#This Row],[日付]])</f>
        <v>2026</v>
      </c>
      <c r="L519" s="35">
        <f>MONTH(SalesHistory[[#This Row],[日付]])</f>
        <v>10</v>
      </c>
    </row>
    <row r="520" spans="1:12" ht="24.95" customHeight="1">
      <c r="A520" s="21">
        <v>46320</v>
      </c>
      <c r="B520" s="20" t="s">
        <v>2</v>
      </c>
      <c r="C520" s="20" t="s">
        <v>232</v>
      </c>
      <c r="D520" s="22">
        <v>9</v>
      </c>
      <c r="E520" s="22">
        <v>2500</v>
      </c>
      <c r="F520" s="22">
        <f t="shared" si="16"/>
        <v>22500</v>
      </c>
      <c r="G520" s="22">
        <v>14850</v>
      </c>
      <c r="H520" s="22">
        <f t="shared" si="17"/>
        <v>7650</v>
      </c>
      <c r="I520" s="20" t="s">
        <v>242</v>
      </c>
      <c r="J520" s="20" t="str">
        <f>TEXT(SalesHistory[[#This Row],[日付]],"yyyy-mm")</f>
        <v>2026-10</v>
      </c>
      <c r="K520" s="35">
        <f>YEAR(SalesHistory[[#This Row],[日付]])</f>
        <v>2026</v>
      </c>
      <c r="L520" s="35">
        <f>MONTH(SalesHistory[[#This Row],[日付]])</f>
        <v>10</v>
      </c>
    </row>
    <row r="521" spans="1:12" ht="24.95" customHeight="1">
      <c r="A521" s="21">
        <v>46300</v>
      </c>
      <c r="B521" s="20" t="s">
        <v>128</v>
      </c>
      <c r="C521" s="20" t="s">
        <v>148</v>
      </c>
      <c r="D521" s="22">
        <v>20</v>
      </c>
      <c r="E521" s="22">
        <v>2000</v>
      </c>
      <c r="F521" s="22">
        <f t="shared" si="16"/>
        <v>40000</v>
      </c>
      <c r="G521" s="22">
        <v>28800</v>
      </c>
      <c r="H521" s="22">
        <f t="shared" si="17"/>
        <v>11200</v>
      </c>
      <c r="I521" s="20" t="s">
        <v>242</v>
      </c>
      <c r="J521" s="20" t="str">
        <f>TEXT(SalesHistory[[#This Row],[日付]],"yyyy-mm")</f>
        <v>2026-10</v>
      </c>
      <c r="K521" s="35">
        <f>YEAR(SalesHistory[[#This Row],[日付]])</f>
        <v>2026</v>
      </c>
      <c r="L521" s="35">
        <f>MONTH(SalesHistory[[#This Row],[日付]])</f>
        <v>10</v>
      </c>
    </row>
    <row r="522" spans="1:12" ht="24.95" customHeight="1">
      <c r="A522" s="21">
        <v>46310</v>
      </c>
      <c r="B522" s="20" t="s">
        <v>128</v>
      </c>
      <c r="C522" s="20" t="s">
        <v>148</v>
      </c>
      <c r="D522" s="22">
        <v>25</v>
      </c>
      <c r="E522" s="22">
        <v>2000</v>
      </c>
      <c r="F522" s="22">
        <f t="shared" si="16"/>
        <v>50000</v>
      </c>
      <c r="G522" s="22">
        <v>36000</v>
      </c>
      <c r="H522" s="22">
        <f t="shared" si="17"/>
        <v>14000</v>
      </c>
      <c r="I522" s="20" t="s">
        <v>242</v>
      </c>
      <c r="J522" s="20" t="str">
        <f>TEXT(SalesHistory[[#This Row],[日付]],"yyyy-mm")</f>
        <v>2026-10</v>
      </c>
      <c r="K522" s="35">
        <f>YEAR(SalesHistory[[#This Row],[日付]])</f>
        <v>2026</v>
      </c>
      <c r="L522" s="35">
        <f>MONTH(SalesHistory[[#This Row],[日付]])</f>
        <v>10</v>
      </c>
    </row>
    <row r="523" spans="1:12" ht="24.95" customHeight="1">
      <c r="A523" s="21">
        <v>46320</v>
      </c>
      <c r="B523" s="20" t="s">
        <v>128</v>
      </c>
      <c r="C523" s="20" t="s">
        <v>148</v>
      </c>
      <c r="D523" s="22">
        <v>30</v>
      </c>
      <c r="E523" s="22">
        <v>2000</v>
      </c>
      <c r="F523" s="22">
        <f t="shared" si="16"/>
        <v>60000</v>
      </c>
      <c r="G523" s="22">
        <v>43200</v>
      </c>
      <c r="H523" s="22">
        <f t="shared" si="17"/>
        <v>16800</v>
      </c>
      <c r="I523" s="20" t="s">
        <v>242</v>
      </c>
      <c r="J523" s="20" t="str">
        <f>TEXT(SalesHistory[[#This Row],[日付]],"yyyy-mm")</f>
        <v>2026-10</v>
      </c>
      <c r="K523" s="35">
        <f>YEAR(SalesHistory[[#This Row],[日付]])</f>
        <v>2026</v>
      </c>
      <c r="L523" s="35">
        <f>MONTH(SalesHistory[[#This Row],[日付]])</f>
        <v>10</v>
      </c>
    </row>
    <row r="524" spans="1:12" ht="24.95" customHeight="1">
      <c r="A524" s="21">
        <v>46300</v>
      </c>
      <c r="B524" s="20" t="s">
        <v>128</v>
      </c>
      <c r="C524" s="20" t="s">
        <v>233</v>
      </c>
      <c r="D524" s="22">
        <v>23</v>
      </c>
      <c r="E524" s="22">
        <v>1800</v>
      </c>
      <c r="F524" s="22">
        <f t="shared" si="16"/>
        <v>41400</v>
      </c>
      <c r="G524" s="22">
        <v>19872</v>
      </c>
      <c r="H524" s="22">
        <f t="shared" si="17"/>
        <v>21528</v>
      </c>
      <c r="I524" s="20" t="s">
        <v>242</v>
      </c>
      <c r="J524" s="20" t="str">
        <f>TEXT(SalesHistory[[#This Row],[日付]],"yyyy-mm")</f>
        <v>2026-10</v>
      </c>
      <c r="K524" s="35">
        <f>YEAR(SalesHistory[[#This Row],[日付]])</f>
        <v>2026</v>
      </c>
      <c r="L524" s="35">
        <f>MONTH(SalesHistory[[#This Row],[日付]])</f>
        <v>10</v>
      </c>
    </row>
    <row r="525" spans="1:12" ht="24.95" customHeight="1">
      <c r="A525" s="21">
        <v>46310</v>
      </c>
      <c r="B525" s="20" t="s">
        <v>128</v>
      </c>
      <c r="C525" s="20" t="s">
        <v>233</v>
      </c>
      <c r="D525" s="22">
        <v>28</v>
      </c>
      <c r="E525" s="22">
        <v>1800</v>
      </c>
      <c r="F525" s="22">
        <f t="shared" si="16"/>
        <v>50400</v>
      </c>
      <c r="G525" s="22">
        <v>24192</v>
      </c>
      <c r="H525" s="22">
        <f t="shared" si="17"/>
        <v>26208</v>
      </c>
      <c r="I525" s="20" t="s">
        <v>242</v>
      </c>
      <c r="J525" s="20" t="str">
        <f>TEXT(SalesHistory[[#This Row],[日付]],"yyyy-mm")</f>
        <v>2026-10</v>
      </c>
      <c r="K525" s="35">
        <f>YEAR(SalesHistory[[#This Row],[日付]])</f>
        <v>2026</v>
      </c>
      <c r="L525" s="35">
        <f>MONTH(SalesHistory[[#This Row],[日付]])</f>
        <v>10</v>
      </c>
    </row>
    <row r="526" spans="1:12" ht="24.95" customHeight="1">
      <c r="A526" s="21">
        <v>46320</v>
      </c>
      <c r="B526" s="20" t="s">
        <v>128</v>
      </c>
      <c r="C526" s="20" t="s">
        <v>233</v>
      </c>
      <c r="D526" s="22">
        <v>33</v>
      </c>
      <c r="E526" s="22">
        <v>1800</v>
      </c>
      <c r="F526" s="22">
        <f t="shared" si="16"/>
        <v>59400</v>
      </c>
      <c r="G526" s="22">
        <v>28512</v>
      </c>
      <c r="H526" s="22">
        <f t="shared" si="17"/>
        <v>30888</v>
      </c>
      <c r="I526" s="20" t="s">
        <v>242</v>
      </c>
      <c r="J526" s="20" t="str">
        <f>TEXT(SalesHistory[[#This Row],[日付]],"yyyy-mm")</f>
        <v>2026-10</v>
      </c>
      <c r="K526" s="35">
        <f>YEAR(SalesHistory[[#This Row],[日付]])</f>
        <v>2026</v>
      </c>
      <c r="L526" s="35">
        <f>MONTH(SalesHistory[[#This Row],[日付]])</f>
        <v>10</v>
      </c>
    </row>
    <row r="527" spans="1:12" ht="24.95" customHeight="1">
      <c r="A527" s="21">
        <v>46300</v>
      </c>
      <c r="B527" s="20" t="s">
        <v>128</v>
      </c>
      <c r="C527" s="20" t="s">
        <v>234</v>
      </c>
      <c r="D527" s="22">
        <v>26</v>
      </c>
      <c r="E527" s="22">
        <v>3200</v>
      </c>
      <c r="F527" s="22">
        <f t="shared" si="16"/>
        <v>83200</v>
      </c>
      <c r="G527" s="22">
        <v>44928</v>
      </c>
      <c r="H527" s="22">
        <f t="shared" si="17"/>
        <v>38272</v>
      </c>
      <c r="I527" s="20" t="s">
        <v>242</v>
      </c>
      <c r="J527" s="20" t="str">
        <f>TEXT(SalesHistory[[#This Row],[日付]],"yyyy-mm")</f>
        <v>2026-10</v>
      </c>
      <c r="K527" s="35">
        <f>YEAR(SalesHistory[[#This Row],[日付]])</f>
        <v>2026</v>
      </c>
      <c r="L527" s="35">
        <f>MONTH(SalesHistory[[#This Row],[日付]])</f>
        <v>10</v>
      </c>
    </row>
    <row r="528" spans="1:12" ht="24.95" customHeight="1">
      <c r="A528" s="21">
        <v>46310</v>
      </c>
      <c r="B528" s="20" t="s">
        <v>128</v>
      </c>
      <c r="C528" s="20" t="s">
        <v>234</v>
      </c>
      <c r="D528" s="22">
        <v>31</v>
      </c>
      <c r="E528" s="22">
        <v>3200</v>
      </c>
      <c r="F528" s="22">
        <f t="shared" si="16"/>
        <v>99200</v>
      </c>
      <c r="G528" s="22">
        <v>53568</v>
      </c>
      <c r="H528" s="22">
        <f t="shared" si="17"/>
        <v>45632</v>
      </c>
      <c r="I528" s="20" t="s">
        <v>242</v>
      </c>
      <c r="J528" s="20" t="str">
        <f>TEXT(SalesHistory[[#This Row],[日付]],"yyyy-mm")</f>
        <v>2026-10</v>
      </c>
      <c r="K528" s="35">
        <f>YEAR(SalesHistory[[#This Row],[日付]])</f>
        <v>2026</v>
      </c>
      <c r="L528" s="35">
        <f>MONTH(SalesHistory[[#This Row],[日付]])</f>
        <v>10</v>
      </c>
    </row>
    <row r="529" spans="1:12" ht="24.95" customHeight="1">
      <c r="A529" s="21">
        <v>46320</v>
      </c>
      <c r="B529" s="20" t="s">
        <v>128</v>
      </c>
      <c r="C529" s="20" t="s">
        <v>234</v>
      </c>
      <c r="D529" s="22">
        <v>36</v>
      </c>
      <c r="E529" s="22">
        <v>3200</v>
      </c>
      <c r="F529" s="22">
        <f t="shared" si="16"/>
        <v>115200</v>
      </c>
      <c r="G529" s="22">
        <v>62208</v>
      </c>
      <c r="H529" s="22">
        <f t="shared" si="17"/>
        <v>52992</v>
      </c>
      <c r="I529" s="20" t="s">
        <v>242</v>
      </c>
      <c r="J529" s="20" t="str">
        <f>TEXT(SalesHistory[[#This Row],[日付]],"yyyy-mm")</f>
        <v>2026-10</v>
      </c>
      <c r="K529" s="35">
        <f>YEAR(SalesHistory[[#This Row],[日付]])</f>
        <v>2026</v>
      </c>
      <c r="L529" s="35">
        <f>MONTH(SalesHistory[[#This Row],[日付]])</f>
        <v>10</v>
      </c>
    </row>
    <row r="530" spans="1:12" ht="24.95" customHeight="1">
      <c r="A530" s="21">
        <v>46300</v>
      </c>
      <c r="B530" s="20" t="s">
        <v>128</v>
      </c>
      <c r="C530" s="20" t="s">
        <v>235</v>
      </c>
      <c r="D530" s="22">
        <v>29</v>
      </c>
      <c r="E530" s="22">
        <v>4000</v>
      </c>
      <c r="F530" s="22">
        <f t="shared" si="16"/>
        <v>116000</v>
      </c>
      <c r="G530" s="22">
        <v>69600</v>
      </c>
      <c r="H530" s="22">
        <f t="shared" si="17"/>
        <v>46400</v>
      </c>
      <c r="I530" s="20" t="s">
        <v>242</v>
      </c>
      <c r="J530" s="20" t="str">
        <f>TEXT(SalesHistory[[#This Row],[日付]],"yyyy-mm")</f>
        <v>2026-10</v>
      </c>
      <c r="K530" s="35">
        <f>YEAR(SalesHistory[[#This Row],[日付]])</f>
        <v>2026</v>
      </c>
      <c r="L530" s="35">
        <f>MONTH(SalesHistory[[#This Row],[日付]])</f>
        <v>10</v>
      </c>
    </row>
    <row r="531" spans="1:12" ht="24.95" customHeight="1">
      <c r="A531" s="21">
        <v>46310</v>
      </c>
      <c r="B531" s="20" t="s">
        <v>128</v>
      </c>
      <c r="C531" s="20" t="s">
        <v>235</v>
      </c>
      <c r="D531" s="22">
        <v>34</v>
      </c>
      <c r="E531" s="22">
        <v>4000</v>
      </c>
      <c r="F531" s="22">
        <f t="shared" si="16"/>
        <v>136000</v>
      </c>
      <c r="G531" s="22">
        <v>81600</v>
      </c>
      <c r="H531" s="22">
        <f t="shared" si="17"/>
        <v>54400</v>
      </c>
      <c r="I531" s="20" t="s">
        <v>242</v>
      </c>
      <c r="J531" s="20" t="str">
        <f>TEXT(SalesHistory[[#This Row],[日付]],"yyyy-mm")</f>
        <v>2026-10</v>
      </c>
      <c r="K531" s="35">
        <f>YEAR(SalesHistory[[#This Row],[日付]])</f>
        <v>2026</v>
      </c>
      <c r="L531" s="35">
        <f>MONTH(SalesHistory[[#This Row],[日付]])</f>
        <v>10</v>
      </c>
    </row>
    <row r="532" spans="1:12" ht="24.95" customHeight="1">
      <c r="A532" s="21">
        <v>46320</v>
      </c>
      <c r="B532" s="20" t="s">
        <v>128</v>
      </c>
      <c r="C532" s="20" t="s">
        <v>235</v>
      </c>
      <c r="D532" s="22">
        <v>22</v>
      </c>
      <c r="E532" s="22">
        <v>4000</v>
      </c>
      <c r="F532" s="22">
        <f t="shared" si="16"/>
        <v>88000</v>
      </c>
      <c r="G532" s="22">
        <v>52800</v>
      </c>
      <c r="H532" s="22">
        <f t="shared" si="17"/>
        <v>35200</v>
      </c>
      <c r="I532" s="20" t="s">
        <v>242</v>
      </c>
      <c r="J532" s="20" t="str">
        <f>TEXT(SalesHistory[[#This Row],[日付]],"yyyy-mm")</f>
        <v>2026-10</v>
      </c>
      <c r="K532" s="35">
        <f>YEAR(SalesHistory[[#This Row],[日付]])</f>
        <v>2026</v>
      </c>
      <c r="L532" s="35">
        <f>MONTH(SalesHistory[[#This Row],[日付]])</f>
        <v>10</v>
      </c>
    </row>
    <row r="533" spans="1:12" ht="24.95" customHeight="1">
      <c r="A533" s="21">
        <v>46331</v>
      </c>
      <c r="B533" s="20" t="s">
        <v>2</v>
      </c>
      <c r="C533" s="20" t="s">
        <v>56</v>
      </c>
      <c r="D533" s="22">
        <v>14</v>
      </c>
      <c r="E533" s="22">
        <v>50000</v>
      </c>
      <c r="F533" s="22">
        <f t="shared" si="16"/>
        <v>700000</v>
      </c>
      <c r="G533" s="22">
        <v>378000</v>
      </c>
      <c r="H533" s="22">
        <f t="shared" si="17"/>
        <v>322000</v>
      </c>
      <c r="I533" s="20" t="s">
        <v>242</v>
      </c>
      <c r="J533" s="20" t="str">
        <f>TEXT(SalesHistory[[#This Row],[日付]],"yyyy-mm")</f>
        <v>2026-11</v>
      </c>
      <c r="K533" s="35">
        <f>YEAR(SalesHistory[[#This Row],[日付]])</f>
        <v>2026</v>
      </c>
      <c r="L533" s="35">
        <f>MONTH(SalesHistory[[#This Row],[日付]])</f>
        <v>11</v>
      </c>
    </row>
    <row r="534" spans="1:12" ht="24.95" customHeight="1">
      <c r="A534" s="21">
        <v>46341</v>
      </c>
      <c r="B534" s="20" t="s">
        <v>2</v>
      </c>
      <c r="C534" s="20" t="s">
        <v>56</v>
      </c>
      <c r="D534" s="22">
        <v>2</v>
      </c>
      <c r="E534" s="22">
        <v>50000</v>
      </c>
      <c r="F534" s="22">
        <f t="shared" si="16"/>
        <v>100000</v>
      </c>
      <c r="G534" s="22">
        <v>54000</v>
      </c>
      <c r="H534" s="22">
        <f t="shared" si="17"/>
        <v>46000</v>
      </c>
      <c r="I534" s="20" t="s">
        <v>242</v>
      </c>
      <c r="J534" s="20" t="str">
        <f>TEXT(SalesHistory[[#This Row],[日付]],"yyyy-mm")</f>
        <v>2026-11</v>
      </c>
      <c r="K534" s="35">
        <f>YEAR(SalesHistory[[#This Row],[日付]])</f>
        <v>2026</v>
      </c>
      <c r="L534" s="35">
        <f>MONTH(SalesHistory[[#This Row],[日付]])</f>
        <v>11</v>
      </c>
    </row>
    <row r="535" spans="1:12" ht="24.95" customHeight="1">
      <c r="A535" s="21">
        <v>46351</v>
      </c>
      <c r="B535" s="20" t="s">
        <v>2</v>
      </c>
      <c r="C535" s="20" t="s">
        <v>56</v>
      </c>
      <c r="D535" s="22">
        <v>7</v>
      </c>
      <c r="E535" s="22">
        <v>50000</v>
      </c>
      <c r="F535" s="22">
        <f t="shared" si="16"/>
        <v>350000</v>
      </c>
      <c r="G535" s="22">
        <v>189000</v>
      </c>
      <c r="H535" s="22">
        <f t="shared" si="17"/>
        <v>161000</v>
      </c>
      <c r="I535" s="20" t="s">
        <v>242</v>
      </c>
      <c r="J535" s="20" t="str">
        <f>TEXT(SalesHistory[[#This Row],[日付]],"yyyy-mm")</f>
        <v>2026-11</v>
      </c>
      <c r="K535" s="35">
        <f>YEAR(SalesHistory[[#This Row],[日付]])</f>
        <v>2026</v>
      </c>
      <c r="L535" s="35">
        <f>MONTH(SalesHistory[[#This Row],[日付]])</f>
        <v>11</v>
      </c>
    </row>
    <row r="536" spans="1:12" ht="24.95" customHeight="1">
      <c r="A536" s="21">
        <v>46331</v>
      </c>
      <c r="B536" s="20" t="s">
        <v>2</v>
      </c>
      <c r="C536" s="20" t="s">
        <v>60</v>
      </c>
      <c r="D536" s="22">
        <v>17</v>
      </c>
      <c r="E536" s="22">
        <v>15000</v>
      </c>
      <c r="F536" s="22">
        <f t="shared" si="16"/>
        <v>255000</v>
      </c>
      <c r="G536" s="22">
        <v>153000</v>
      </c>
      <c r="H536" s="22">
        <f t="shared" si="17"/>
        <v>102000</v>
      </c>
      <c r="I536" s="20" t="s">
        <v>242</v>
      </c>
      <c r="J536" s="20" t="str">
        <f>TEXT(SalesHistory[[#This Row],[日付]],"yyyy-mm")</f>
        <v>2026-11</v>
      </c>
      <c r="K536" s="35">
        <f>YEAR(SalesHistory[[#This Row],[日付]])</f>
        <v>2026</v>
      </c>
      <c r="L536" s="35">
        <f>MONTH(SalesHistory[[#This Row],[日付]])</f>
        <v>11</v>
      </c>
    </row>
    <row r="537" spans="1:12" ht="24.95" customHeight="1">
      <c r="A537" s="21">
        <v>46341</v>
      </c>
      <c r="B537" s="20" t="s">
        <v>2</v>
      </c>
      <c r="C537" s="20" t="s">
        <v>60</v>
      </c>
      <c r="D537" s="22">
        <v>5</v>
      </c>
      <c r="E537" s="22">
        <v>15000</v>
      </c>
      <c r="F537" s="22">
        <f t="shared" si="16"/>
        <v>75000</v>
      </c>
      <c r="G537" s="22">
        <v>45000</v>
      </c>
      <c r="H537" s="22">
        <f t="shared" si="17"/>
        <v>30000</v>
      </c>
      <c r="I537" s="20" t="s">
        <v>242</v>
      </c>
      <c r="J537" s="20" t="str">
        <f>TEXT(SalesHistory[[#This Row],[日付]],"yyyy-mm")</f>
        <v>2026-11</v>
      </c>
      <c r="K537" s="35">
        <f>YEAR(SalesHistory[[#This Row],[日付]])</f>
        <v>2026</v>
      </c>
      <c r="L537" s="35">
        <f>MONTH(SalesHistory[[#This Row],[日付]])</f>
        <v>11</v>
      </c>
    </row>
    <row r="538" spans="1:12" ht="24.95" customHeight="1">
      <c r="A538" s="21">
        <v>46351</v>
      </c>
      <c r="B538" s="20" t="s">
        <v>2</v>
      </c>
      <c r="C538" s="20" t="s">
        <v>60</v>
      </c>
      <c r="D538" s="22">
        <v>10</v>
      </c>
      <c r="E538" s="22">
        <v>15000</v>
      </c>
      <c r="F538" s="22">
        <f t="shared" si="16"/>
        <v>150000</v>
      </c>
      <c r="G538" s="22">
        <v>90000</v>
      </c>
      <c r="H538" s="22">
        <f t="shared" si="17"/>
        <v>60000</v>
      </c>
      <c r="I538" s="20" t="s">
        <v>242</v>
      </c>
      <c r="J538" s="20" t="str">
        <f>TEXT(SalesHistory[[#This Row],[日付]],"yyyy-mm")</f>
        <v>2026-11</v>
      </c>
      <c r="K538" s="35">
        <f>YEAR(SalesHistory[[#This Row],[日付]])</f>
        <v>2026</v>
      </c>
      <c r="L538" s="35">
        <f>MONTH(SalesHistory[[#This Row],[日付]])</f>
        <v>11</v>
      </c>
    </row>
    <row r="539" spans="1:12" ht="24.95" customHeight="1">
      <c r="A539" s="21">
        <v>46331</v>
      </c>
      <c r="B539" s="20" t="s">
        <v>2</v>
      </c>
      <c r="C539" s="20" t="s">
        <v>231</v>
      </c>
      <c r="D539" s="22">
        <v>3</v>
      </c>
      <c r="E539" s="22">
        <v>35000</v>
      </c>
      <c r="F539" s="22">
        <f t="shared" si="16"/>
        <v>105000</v>
      </c>
      <c r="G539" s="22">
        <v>69300</v>
      </c>
      <c r="H539" s="22">
        <f t="shared" si="17"/>
        <v>35700</v>
      </c>
      <c r="I539" s="20" t="s">
        <v>242</v>
      </c>
      <c r="J539" s="20" t="str">
        <f>TEXT(SalesHistory[[#This Row],[日付]],"yyyy-mm")</f>
        <v>2026-11</v>
      </c>
      <c r="K539" s="35">
        <f>YEAR(SalesHistory[[#This Row],[日付]])</f>
        <v>2026</v>
      </c>
      <c r="L539" s="35">
        <f>MONTH(SalesHistory[[#This Row],[日付]])</f>
        <v>11</v>
      </c>
    </row>
    <row r="540" spans="1:12" ht="24.95" customHeight="1">
      <c r="A540" s="21">
        <v>46341</v>
      </c>
      <c r="B540" s="20" t="s">
        <v>2</v>
      </c>
      <c r="C540" s="20" t="s">
        <v>231</v>
      </c>
      <c r="D540" s="22">
        <v>8</v>
      </c>
      <c r="E540" s="22">
        <v>35000</v>
      </c>
      <c r="F540" s="22">
        <f t="shared" si="16"/>
        <v>280000</v>
      </c>
      <c r="G540" s="22">
        <v>184800</v>
      </c>
      <c r="H540" s="22">
        <f t="shared" si="17"/>
        <v>95200</v>
      </c>
      <c r="I540" s="20" t="s">
        <v>242</v>
      </c>
      <c r="J540" s="20" t="str">
        <f>TEXT(SalesHistory[[#This Row],[日付]],"yyyy-mm")</f>
        <v>2026-11</v>
      </c>
      <c r="K540" s="35">
        <f>YEAR(SalesHistory[[#This Row],[日付]])</f>
        <v>2026</v>
      </c>
      <c r="L540" s="35">
        <f>MONTH(SalesHistory[[#This Row],[日付]])</f>
        <v>11</v>
      </c>
    </row>
    <row r="541" spans="1:12" ht="24.95" customHeight="1">
      <c r="A541" s="21">
        <v>46351</v>
      </c>
      <c r="B541" s="20" t="s">
        <v>2</v>
      </c>
      <c r="C541" s="20" t="s">
        <v>231</v>
      </c>
      <c r="D541" s="22">
        <v>13</v>
      </c>
      <c r="E541" s="22">
        <v>35000</v>
      </c>
      <c r="F541" s="22">
        <f t="shared" si="16"/>
        <v>455000</v>
      </c>
      <c r="G541" s="22">
        <v>300300</v>
      </c>
      <c r="H541" s="22">
        <f t="shared" si="17"/>
        <v>154700</v>
      </c>
      <c r="I541" s="20" t="s">
        <v>242</v>
      </c>
      <c r="J541" s="20" t="str">
        <f>TEXT(SalesHistory[[#This Row],[日付]],"yyyy-mm")</f>
        <v>2026-11</v>
      </c>
      <c r="K541" s="35">
        <f>YEAR(SalesHistory[[#This Row],[日付]])</f>
        <v>2026</v>
      </c>
      <c r="L541" s="35">
        <f>MONTH(SalesHistory[[#This Row],[日付]])</f>
        <v>11</v>
      </c>
    </row>
    <row r="542" spans="1:12" ht="24.95" customHeight="1">
      <c r="A542" s="21">
        <v>46331</v>
      </c>
      <c r="B542" s="20" t="s">
        <v>2</v>
      </c>
      <c r="C542" s="20" t="s">
        <v>232</v>
      </c>
      <c r="D542" s="22">
        <v>6</v>
      </c>
      <c r="E542" s="22">
        <v>2500</v>
      </c>
      <c r="F542" s="22">
        <f t="shared" si="16"/>
        <v>15000</v>
      </c>
      <c r="G542" s="22">
        <v>10800</v>
      </c>
      <c r="H542" s="22">
        <f t="shared" si="17"/>
        <v>4200</v>
      </c>
      <c r="I542" s="20" t="s">
        <v>242</v>
      </c>
      <c r="J542" s="20" t="str">
        <f>TEXT(SalesHistory[[#This Row],[日付]],"yyyy-mm")</f>
        <v>2026-11</v>
      </c>
      <c r="K542" s="35">
        <f>YEAR(SalesHistory[[#This Row],[日付]])</f>
        <v>2026</v>
      </c>
      <c r="L542" s="35">
        <f>MONTH(SalesHistory[[#This Row],[日付]])</f>
        <v>11</v>
      </c>
    </row>
    <row r="543" spans="1:12" ht="24.95" customHeight="1">
      <c r="A543" s="21">
        <v>46341</v>
      </c>
      <c r="B543" s="20" t="s">
        <v>2</v>
      </c>
      <c r="C543" s="20" t="s">
        <v>232</v>
      </c>
      <c r="D543" s="22">
        <v>11</v>
      </c>
      <c r="E543" s="22">
        <v>2500</v>
      </c>
      <c r="F543" s="22">
        <f t="shared" si="16"/>
        <v>27500</v>
      </c>
      <c r="G543" s="22">
        <v>19800</v>
      </c>
      <c r="H543" s="22">
        <f t="shared" si="17"/>
        <v>7700</v>
      </c>
      <c r="I543" s="20" t="s">
        <v>242</v>
      </c>
      <c r="J543" s="20" t="str">
        <f>TEXT(SalesHistory[[#This Row],[日付]],"yyyy-mm")</f>
        <v>2026-11</v>
      </c>
      <c r="K543" s="35">
        <f>YEAR(SalesHistory[[#This Row],[日付]])</f>
        <v>2026</v>
      </c>
      <c r="L543" s="35">
        <f>MONTH(SalesHistory[[#This Row],[日付]])</f>
        <v>11</v>
      </c>
    </row>
    <row r="544" spans="1:12" ht="24.95" customHeight="1">
      <c r="A544" s="21">
        <v>46351</v>
      </c>
      <c r="B544" s="20" t="s">
        <v>2</v>
      </c>
      <c r="C544" s="20" t="s">
        <v>232</v>
      </c>
      <c r="D544" s="22">
        <v>16</v>
      </c>
      <c r="E544" s="22">
        <v>2500</v>
      </c>
      <c r="F544" s="22">
        <f t="shared" si="16"/>
        <v>40000</v>
      </c>
      <c r="G544" s="22">
        <v>28800</v>
      </c>
      <c r="H544" s="22">
        <f t="shared" si="17"/>
        <v>11200</v>
      </c>
      <c r="I544" s="20" t="s">
        <v>242</v>
      </c>
      <c r="J544" s="20" t="str">
        <f>TEXT(SalesHistory[[#This Row],[日付]],"yyyy-mm")</f>
        <v>2026-11</v>
      </c>
      <c r="K544" s="35">
        <f>YEAR(SalesHistory[[#This Row],[日付]])</f>
        <v>2026</v>
      </c>
      <c r="L544" s="35">
        <f>MONTH(SalesHistory[[#This Row],[日付]])</f>
        <v>11</v>
      </c>
    </row>
    <row r="545" spans="1:12" ht="24.95" customHeight="1">
      <c r="A545" s="21">
        <v>46331</v>
      </c>
      <c r="B545" s="20" t="s">
        <v>128</v>
      </c>
      <c r="C545" s="20" t="s">
        <v>148</v>
      </c>
      <c r="D545" s="22">
        <v>27</v>
      </c>
      <c r="E545" s="22">
        <v>2000</v>
      </c>
      <c r="F545" s="22">
        <f t="shared" si="16"/>
        <v>54000</v>
      </c>
      <c r="G545" s="22">
        <v>25920</v>
      </c>
      <c r="H545" s="22">
        <f t="shared" si="17"/>
        <v>28080</v>
      </c>
      <c r="I545" s="20" t="s">
        <v>242</v>
      </c>
      <c r="J545" s="20" t="str">
        <f>TEXT(SalesHistory[[#This Row],[日付]],"yyyy-mm")</f>
        <v>2026-11</v>
      </c>
      <c r="K545" s="35">
        <f>YEAR(SalesHistory[[#This Row],[日付]])</f>
        <v>2026</v>
      </c>
      <c r="L545" s="35">
        <f>MONTH(SalesHistory[[#This Row],[日付]])</f>
        <v>11</v>
      </c>
    </row>
    <row r="546" spans="1:12" ht="24.95" customHeight="1">
      <c r="A546" s="21">
        <v>46341</v>
      </c>
      <c r="B546" s="20" t="s">
        <v>128</v>
      </c>
      <c r="C546" s="20" t="s">
        <v>148</v>
      </c>
      <c r="D546" s="22">
        <v>32</v>
      </c>
      <c r="E546" s="22">
        <v>2000</v>
      </c>
      <c r="F546" s="22">
        <f t="shared" si="16"/>
        <v>64000</v>
      </c>
      <c r="G546" s="22">
        <v>30720</v>
      </c>
      <c r="H546" s="22">
        <f t="shared" si="17"/>
        <v>33280</v>
      </c>
      <c r="I546" s="20" t="s">
        <v>242</v>
      </c>
      <c r="J546" s="20" t="str">
        <f>TEXT(SalesHistory[[#This Row],[日付]],"yyyy-mm")</f>
        <v>2026-11</v>
      </c>
      <c r="K546" s="35">
        <f>YEAR(SalesHistory[[#This Row],[日付]])</f>
        <v>2026</v>
      </c>
      <c r="L546" s="35">
        <f>MONTH(SalesHistory[[#This Row],[日付]])</f>
        <v>11</v>
      </c>
    </row>
    <row r="547" spans="1:12" ht="24.95" customHeight="1">
      <c r="A547" s="21">
        <v>46351</v>
      </c>
      <c r="B547" s="20" t="s">
        <v>128</v>
      </c>
      <c r="C547" s="20" t="s">
        <v>148</v>
      </c>
      <c r="D547" s="22">
        <v>20</v>
      </c>
      <c r="E547" s="22">
        <v>2000</v>
      </c>
      <c r="F547" s="22">
        <f t="shared" si="16"/>
        <v>40000</v>
      </c>
      <c r="G547" s="22">
        <v>19200</v>
      </c>
      <c r="H547" s="22">
        <f t="shared" si="17"/>
        <v>20800</v>
      </c>
      <c r="I547" s="20" t="s">
        <v>242</v>
      </c>
      <c r="J547" s="20" t="str">
        <f>TEXT(SalesHistory[[#This Row],[日付]],"yyyy-mm")</f>
        <v>2026-11</v>
      </c>
      <c r="K547" s="35">
        <f>YEAR(SalesHistory[[#This Row],[日付]])</f>
        <v>2026</v>
      </c>
      <c r="L547" s="35">
        <f>MONTH(SalesHistory[[#This Row],[日付]])</f>
        <v>11</v>
      </c>
    </row>
    <row r="548" spans="1:12" ht="24.95" customHeight="1">
      <c r="A548" s="21">
        <v>46331</v>
      </c>
      <c r="B548" s="20" t="s">
        <v>128</v>
      </c>
      <c r="C548" s="20" t="s">
        <v>233</v>
      </c>
      <c r="D548" s="22">
        <v>30</v>
      </c>
      <c r="E548" s="22">
        <v>1800</v>
      </c>
      <c r="F548" s="22">
        <f t="shared" si="16"/>
        <v>54000</v>
      </c>
      <c r="G548" s="22">
        <v>29160</v>
      </c>
      <c r="H548" s="22">
        <f t="shared" si="17"/>
        <v>24840</v>
      </c>
      <c r="I548" s="20" t="s">
        <v>242</v>
      </c>
      <c r="J548" s="20" t="str">
        <f>TEXT(SalesHistory[[#This Row],[日付]],"yyyy-mm")</f>
        <v>2026-11</v>
      </c>
      <c r="K548" s="35">
        <f>YEAR(SalesHistory[[#This Row],[日付]])</f>
        <v>2026</v>
      </c>
      <c r="L548" s="35">
        <f>MONTH(SalesHistory[[#This Row],[日付]])</f>
        <v>11</v>
      </c>
    </row>
    <row r="549" spans="1:12" ht="24.95" customHeight="1">
      <c r="A549" s="21">
        <v>46341</v>
      </c>
      <c r="B549" s="20" t="s">
        <v>128</v>
      </c>
      <c r="C549" s="20" t="s">
        <v>233</v>
      </c>
      <c r="D549" s="22">
        <v>35</v>
      </c>
      <c r="E549" s="22">
        <v>1800</v>
      </c>
      <c r="F549" s="22">
        <f t="shared" si="16"/>
        <v>63000</v>
      </c>
      <c r="G549" s="22">
        <v>34020</v>
      </c>
      <c r="H549" s="22">
        <f t="shared" si="17"/>
        <v>28980</v>
      </c>
      <c r="I549" s="20" t="s">
        <v>242</v>
      </c>
      <c r="J549" s="20" t="str">
        <f>TEXT(SalesHistory[[#This Row],[日付]],"yyyy-mm")</f>
        <v>2026-11</v>
      </c>
      <c r="K549" s="35">
        <f>YEAR(SalesHistory[[#This Row],[日付]])</f>
        <v>2026</v>
      </c>
      <c r="L549" s="35">
        <f>MONTH(SalesHistory[[#This Row],[日付]])</f>
        <v>11</v>
      </c>
    </row>
    <row r="550" spans="1:12" ht="24.95" customHeight="1">
      <c r="A550" s="21">
        <v>46351</v>
      </c>
      <c r="B550" s="20" t="s">
        <v>128</v>
      </c>
      <c r="C550" s="20" t="s">
        <v>233</v>
      </c>
      <c r="D550" s="22">
        <v>23</v>
      </c>
      <c r="E550" s="22">
        <v>1800</v>
      </c>
      <c r="F550" s="22">
        <f t="shared" si="16"/>
        <v>41400</v>
      </c>
      <c r="G550" s="22">
        <v>22356</v>
      </c>
      <c r="H550" s="22">
        <f t="shared" si="17"/>
        <v>19044</v>
      </c>
      <c r="I550" s="20" t="s">
        <v>242</v>
      </c>
      <c r="J550" s="20" t="str">
        <f>TEXT(SalesHistory[[#This Row],[日付]],"yyyy-mm")</f>
        <v>2026-11</v>
      </c>
      <c r="K550" s="35">
        <f>YEAR(SalesHistory[[#This Row],[日付]])</f>
        <v>2026</v>
      </c>
      <c r="L550" s="35">
        <f>MONTH(SalesHistory[[#This Row],[日付]])</f>
        <v>11</v>
      </c>
    </row>
    <row r="551" spans="1:12" ht="24.95" customHeight="1">
      <c r="A551" s="21">
        <v>46331</v>
      </c>
      <c r="B551" s="20" t="s">
        <v>128</v>
      </c>
      <c r="C551" s="20" t="s">
        <v>234</v>
      </c>
      <c r="D551" s="22">
        <v>33</v>
      </c>
      <c r="E551" s="22">
        <v>3200</v>
      </c>
      <c r="F551" s="22">
        <f t="shared" si="16"/>
        <v>105600</v>
      </c>
      <c r="G551" s="22">
        <v>63360</v>
      </c>
      <c r="H551" s="22">
        <f t="shared" si="17"/>
        <v>42240</v>
      </c>
      <c r="I551" s="20" t="s">
        <v>242</v>
      </c>
      <c r="J551" s="20" t="str">
        <f>TEXT(SalesHistory[[#This Row],[日付]],"yyyy-mm")</f>
        <v>2026-11</v>
      </c>
      <c r="K551" s="35">
        <f>YEAR(SalesHistory[[#This Row],[日付]])</f>
        <v>2026</v>
      </c>
      <c r="L551" s="35">
        <f>MONTH(SalesHistory[[#This Row],[日付]])</f>
        <v>11</v>
      </c>
    </row>
    <row r="552" spans="1:12" ht="24.95" customHeight="1">
      <c r="A552" s="21">
        <v>46341</v>
      </c>
      <c r="B552" s="20" t="s">
        <v>128</v>
      </c>
      <c r="C552" s="20" t="s">
        <v>234</v>
      </c>
      <c r="D552" s="22">
        <v>21</v>
      </c>
      <c r="E552" s="22">
        <v>3200</v>
      </c>
      <c r="F552" s="22">
        <f t="shared" si="16"/>
        <v>67200</v>
      </c>
      <c r="G552" s="22">
        <v>40320</v>
      </c>
      <c r="H552" s="22">
        <f t="shared" si="17"/>
        <v>26880</v>
      </c>
      <c r="I552" s="20" t="s">
        <v>242</v>
      </c>
      <c r="J552" s="20" t="str">
        <f>TEXT(SalesHistory[[#This Row],[日付]],"yyyy-mm")</f>
        <v>2026-11</v>
      </c>
      <c r="K552" s="35">
        <f>YEAR(SalesHistory[[#This Row],[日付]])</f>
        <v>2026</v>
      </c>
      <c r="L552" s="35">
        <f>MONTH(SalesHistory[[#This Row],[日付]])</f>
        <v>11</v>
      </c>
    </row>
    <row r="553" spans="1:12" ht="24.95" customHeight="1">
      <c r="A553" s="21">
        <v>46351</v>
      </c>
      <c r="B553" s="20" t="s">
        <v>128</v>
      </c>
      <c r="C553" s="20" t="s">
        <v>234</v>
      </c>
      <c r="D553" s="22">
        <v>26</v>
      </c>
      <c r="E553" s="22">
        <v>3200</v>
      </c>
      <c r="F553" s="22">
        <f t="shared" si="16"/>
        <v>83200</v>
      </c>
      <c r="G553" s="22">
        <v>49920</v>
      </c>
      <c r="H553" s="22">
        <f t="shared" si="17"/>
        <v>33280</v>
      </c>
      <c r="I553" s="20" t="s">
        <v>242</v>
      </c>
      <c r="J553" s="20" t="str">
        <f>TEXT(SalesHistory[[#This Row],[日付]],"yyyy-mm")</f>
        <v>2026-11</v>
      </c>
      <c r="K553" s="35">
        <f>YEAR(SalesHistory[[#This Row],[日付]])</f>
        <v>2026</v>
      </c>
      <c r="L553" s="35">
        <f>MONTH(SalesHistory[[#This Row],[日付]])</f>
        <v>11</v>
      </c>
    </row>
    <row r="554" spans="1:12" ht="24.95" customHeight="1">
      <c r="A554" s="21">
        <v>46331</v>
      </c>
      <c r="B554" s="20" t="s">
        <v>128</v>
      </c>
      <c r="C554" s="20" t="s">
        <v>235</v>
      </c>
      <c r="D554" s="22">
        <v>36</v>
      </c>
      <c r="E554" s="22">
        <v>4000</v>
      </c>
      <c r="F554" s="22">
        <f t="shared" si="16"/>
        <v>144000</v>
      </c>
      <c r="G554" s="22">
        <v>95040</v>
      </c>
      <c r="H554" s="22">
        <f t="shared" si="17"/>
        <v>48960</v>
      </c>
      <c r="I554" s="20" t="s">
        <v>242</v>
      </c>
      <c r="J554" s="20" t="str">
        <f>TEXT(SalesHistory[[#This Row],[日付]],"yyyy-mm")</f>
        <v>2026-11</v>
      </c>
      <c r="K554" s="35">
        <f>YEAR(SalesHistory[[#This Row],[日付]])</f>
        <v>2026</v>
      </c>
      <c r="L554" s="35">
        <f>MONTH(SalesHistory[[#This Row],[日付]])</f>
        <v>11</v>
      </c>
    </row>
    <row r="555" spans="1:12" ht="24.95" customHeight="1">
      <c r="A555" s="21">
        <v>46341</v>
      </c>
      <c r="B555" s="20" t="s">
        <v>128</v>
      </c>
      <c r="C555" s="20" t="s">
        <v>235</v>
      </c>
      <c r="D555" s="22">
        <v>24</v>
      </c>
      <c r="E555" s="22">
        <v>4000</v>
      </c>
      <c r="F555" s="22">
        <f t="shared" si="16"/>
        <v>96000</v>
      </c>
      <c r="G555" s="22">
        <v>63360</v>
      </c>
      <c r="H555" s="22">
        <f t="shared" si="17"/>
        <v>32640</v>
      </c>
      <c r="I555" s="20" t="s">
        <v>242</v>
      </c>
      <c r="J555" s="20" t="str">
        <f>TEXT(SalesHistory[[#This Row],[日付]],"yyyy-mm")</f>
        <v>2026-11</v>
      </c>
      <c r="K555" s="35">
        <f>YEAR(SalesHistory[[#This Row],[日付]])</f>
        <v>2026</v>
      </c>
      <c r="L555" s="35">
        <f>MONTH(SalesHistory[[#This Row],[日付]])</f>
        <v>11</v>
      </c>
    </row>
    <row r="556" spans="1:12" ht="24.95" customHeight="1">
      <c r="A556" s="21">
        <v>46351</v>
      </c>
      <c r="B556" s="20" t="s">
        <v>128</v>
      </c>
      <c r="C556" s="20" t="s">
        <v>235</v>
      </c>
      <c r="D556" s="22">
        <v>29</v>
      </c>
      <c r="E556" s="22">
        <v>4000</v>
      </c>
      <c r="F556" s="22">
        <f t="shared" si="16"/>
        <v>116000</v>
      </c>
      <c r="G556" s="22">
        <v>76560</v>
      </c>
      <c r="H556" s="22">
        <f t="shared" si="17"/>
        <v>39440</v>
      </c>
      <c r="I556" s="20" t="s">
        <v>242</v>
      </c>
      <c r="J556" s="20" t="str">
        <f>TEXT(SalesHistory[[#This Row],[日付]],"yyyy-mm")</f>
        <v>2026-11</v>
      </c>
      <c r="K556" s="35">
        <f>YEAR(SalesHistory[[#This Row],[日付]])</f>
        <v>2026</v>
      </c>
      <c r="L556" s="35">
        <f>MONTH(SalesHistory[[#This Row],[日付]])</f>
        <v>11</v>
      </c>
    </row>
    <row r="557" spans="1:12" ht="24.95" customHeight="1">
      <c r="A557" s="21">
        <v>46361</v>
      </c>
      <c r="B557" s="20" t="s">
        <v>2</v>
      </c>
      <c r="C557" s="20" t="s">
        <v>56</v>
      </c>
      <c r="D557" s="22">
        <v>4</v>
      </c>
      <c r="E557" s="22">
        <v>50000</v>
      </c>
      <c r="F557" s="22">
        <f t="shared" si="16"/>
        <v>200000</v>
      </c>
      <c r="G557" s="22">
        <v>120000</v>
      </c>
      <c r="H557" s="22">
        <f t="shared" si="17"/>
        <v>80000</v>
      </c>
      <c r="I557" s="20" t="s">
        <v>242</v>
      </c>
      <c r="J557" s="20" t="str">
        <f>TEXT(SalesHistory[[#This Row],[日付]],"yyyy-mm")</f>
        <v>2026-12</v>
      </c>
      <c r="K557" s="35">
        <f>YEAR(SalesHistory[[#This Row],[日付]])</f>
        <v>2026</v>
      </c>
      <c r="L557" s="35">
        <f>MONTH(SalesHistory[[#This Row],[日付]])</f>
        <v>12</v>
      </c>
    </row>
    <row r="558" spans="1:12" ht="24.95" customHeight="1">
      <c r="A558" s="21">
        <v>46371</v>
      </c>
      <c r="B558" s="20" t="s">
        <v>2</v>
      </c>
      <c r="C558" s="20" t="s">
        <v>56</v>
      </c>
      <c r="D558" s="22">
        <v>9</v>
      </c>
      <c r="E558" s="22">
        <v>50000</v>
      </c>
      <c r="F558" s="22">
        <f t="shared" si="16"/>
        <v>450000</v>
      </c>
      <c r="G558" s="22">
        <v>270000</v>
      </c>
      <c r="H558" s="22">
        <f t="shared" si="17"/>
        <v>180000</v>
      </c>
      <c r="I558" s="20" t="s">
        <v>242</v>
      </c>
      <c r="J558" s="20" t="str">
        <f>TEXT(SalesHistory[[#This Row],[日付]],"yyyy-mm")</f>
        <v>2026-12</v>
      </c>
      <c r="K558" s="35">
        <f>YEAR(SalesHistory[[#This Row],[日付]])</f>
        <v>2026</v>
      </c>
      <c r="L558" s="35">
        <f>MONTH(SalesHistory[[#This Row],[日付]])</f>
        <v>12</v>
      </c>
    </row>
    <row r="559" spans="1:12" ht="24.95" customHeight="1">
      <c r="A559" s="21">
        <v>46381</v>
      </c>
      <c r="B559" s="20" t="s">
        <v>2</v>
      </c>
      <c r="C559" s="20" t="s">
        <v>56</v>
      </c>
      <c r="D559" s="22">
        <v>14</v>
      </c>
      <c r="E559" s="22">
        <v>50000</v>
      </c>
      <c r="F559" s="22">
        <f t="shared" si="16"/>
        <v>700000</v>
      </c>
      <c r="G559" s="22">
        <v>420000</v>
      </c>
      <c r="H559" s="22">
        <f t="shared" si="17"/>
        <v>280000</v>
      </c>
      <c r="I559" s="20" t="s">
        <v>242</v>
      </c>
      <c r="J559" s="20" t="str">
        <f>TEXT(SalesHistory[[#This Row],[日付]],"yyyy-mm")</f>
        <v>2026-12</v>
      </c>
      <c r="K559" s="35">
        <f>YEAR(SalesHistory[[#This Row],[日付]])</f>
        <v>2026</v>
      </c>
      <c r="L559" s="35">
        <f>MONTH(SalesHistory[[#This Row],[日付]])</f>
        <v>12</v>
      </c>
    </row>
    <row r="560" spans="1:12" ht="24.95" customHeight="1">
      <c r="A560" s="21">
        <v>46361</v>
      </c>
      <c r="B560" s="20" t="s">
        <v>2</v>
      </c>
      <c r="C560" s="20" t="s">
        <v>60</v>
      </c>
      <c r="D560" s="22">
        <v>7</v>
      </c>
      <c r="E560" s="22">
        <v>15000</v>
      </c>
      <c r="F560" s="22">
        <f t="shared" si="16"/>
        <v>105000</v>
      </c>
      <c r="G560" s="22">
        <v>69300</v>
      </c>
      <c r="H560" s="22">
        <f t="shared" si="17"/>
        <v>35700</v>
      </c>
      <c r="I560" s="20" t="s">
        <v>242</v>
      </c>
      <c r="J560" s="20" t="str">
        <f>TEXT(SalesHistory[[#This Row],[日付]],"yyyy-mm")</f>
        <v>2026-12</v>
      </c>
      <c r="K560" s="35">
        <f>YEAR(SalesHistory[[#This Row],[日付]])</f>
        <v>2026</v>
      </c>
      <c r="L560" s="35">
        <f>MONTH(SalesHistory[[#This Row],[日付]])</f>
        <v>12</v>
      </c>
    </row>
    <row r="561" spans="1:12" ht="24.95" customHeight="1">
      <c r="A561" s="21">
        <v>46371</v>
      </c>
      <c r="B561" s="20" t="s">
        <v>2</v>
      </c>
      <c r="C561" s="20" t="s">
        <v>60</v>
      </c>
      <c r="D561" s="22">
        <v>12</v>
      </c>
      <c r="E561" s="22">
        <v>15000</v>
      </c>
      <c r="F561" s="22">
        <f t="shared" si="16"/>
        <v>180000</v>
      </c>
      <c r="G561" s="22">
        <v>118800</v>
      </c>
      <c r="H561" s="22">
        <f t="shared" si="17"/>
        <v>61200</v>
      </c>
      <c r="I561" s="20" t="s">
        <v>242</v>
      </c>
      <c r="J561" s="20" t="str">
        <f>TEXT(SalesHistory[[#This Row],[日付]],"yyyy-mm")</f>
        <v>2026-12</v>
      </c>
      <c r="K561" s="35">
        <f>YEAR(SalesHistory[[#This Row],[日付]])</f>
        <v>2026</v>
      </c>
      <c r="L561" s="35">
        <f>MONTH(SalesHistory[[#This Row],[日付]])</f>
        <v>12</v>
      </c>
    </row>
    <row r="562" spans="1:12" ht="24.95" customHeight="1">
      <c r="A562" s="21">
        <v>46381</v>
      </c>
      <c r="B562" s="20" t="s">
        <v>2</v>
      </c>
      <c r="C562" s="20" t="s">
        <v>60</v>
      </c>
      <c r="D562" s="22">
        <v>17</v>
      </c>
      <c r="E562" s="22">
        <v>15000</v>
      </c>
      <c r="F562" s="22">
        <f t="shared" si="16"/>
        <v>255000</v>
      </c>
      <c r="G562" s="22">
        <v>168300</v>
      </c>
      <c r="H562" s="22">
        <f t="shared" si="17"/>
        <v>86700</v>
      </c>
      <c r="I562" s="20" t="s">
        <v>242</v>
      </c>
      <c r="J562" s="20" t="str">
        <f>TEXT(SalesHistory[[#This Row],[日付]],"yyyy-mm")</f>
        <v>2026-12</v>
      </c>
      <c r="K562" s="35">
        <f>YEAR(SalesHistory[[#This Row],[日付]])</f>
        <v>2026</v>
      </c>
      <c r="L562" s="35">
        <f>MONTH(SalesHistory[[#This Row],[日付]])</f>
        <v>12</v>
      </c>
    </row>
    <row r="563" spans="1:12" ht="24.95" customHeight="1">
      <c r="A563" s="21">
        <v>46361</v>
      </c>
      <c r="B563" s="20" t="s">
        <v>2</v>
      </c>
      <c r="C563" s="20" t="s">
        <v>231</v>
      </c>
      <c r="D563" s="22">
        <v>10</v>
      </c>
      <c r="E563" s="22">
        <v>35000</v>
      </c>
      <c r="F563" s="22">
        <f t="shared" si="16"/>
        <v>350000</v>
      </c>
      <c r="G563" s="22">
        <v>252000</v>
      </c>
      <c r="H563" s="22">
        <f t="shared" si="17"/>
        <v>98000</v>
      </c>
      <c r="I563" s="20" t="s">
        <v>242</v>
      </c>
      <c r="J563" s="20" t="str">
        <f>TEXT(SalesHistory[[#This Row],[日付]],"yyyy-mm")</f>
        <v>2026-12</v>
      </c>
      <c r="K563" s="35">
        <f>YEAR(SalesHistory[[#This Row],[日付]])</f>
        <v>2026</v>
      </c>
      <c r="L563" s="35">
        <f>MONTH(SalesHistory[[#This Row],[日付]])</f>
        <v>12</v>
      </c>
    </row>
    <row r="564" spans="1:12" ht="24.95" customHeight="1">
      <c r="A564" s="21">
        <v>46371</v>
      </c>
      <c r="B564" s="20" t="s">
        <v>2</v>
      </c>
      <c r="C564" s="20" t="s">
        <v>231</v>
      </c>
      <c r="D564" s="22">
        <v>15</v>
      </c>
      <c r="E564" s="22">
        <v>35000</v>
      </c>
      <c r="F564" s="22">
        <f t="shared" si="16"/>
        <v>525000</v>
      </c>
      <c r="G564" s="22">
        <v>378000</v>
      </c>
      <c r="H564" s="22">
        <f t="shared" si="17"/>
        <v>147000</v>
      </c>
      <c r="I564" s="20" t="s">
        <v>242</v>
      </c>
      <c r="J564" s="20" t="str">
        <f>TEXT(SalesHistory[[#This Row],[日付]],"yyyy-mm")</f>
        <v>2026-12</v>
      </c>
      <c r="K564" s="35">
        <f>YEAR(SalesHistory[[#This Row],[日付]])</f>
        <v>2026</v>
      </c>
      <c r="L564" s="35">
        <f>MONTH(SalesHistory[[#This Row],[日付]])</f>
        <v>12</v>
      </c>
    </row>
    <row r="565" spans="1:12" ht="24.95" customHeight="1">
      <c r="A565" s="21">
        <v>46381</v>
      </c>
      <c r="B565" s="20" t="s">
        <v>2</v>
      </c>
      <c r="C565" s="20" t="s">
        <v>231</v>
      </c>
      <c r="D565" s="22">
        <v>3</v>
      </c>
      <c r="E565" s="22">
        <v>35000</v>
      </c>
      <c r="F565" s="22">
        <f t="shared" si="16"/>
        <v>105000</v>
      </c>
      <c r="G565" s="22">
        <v>75600</v>
      </c>
      <c r="H565" s="22">
        <f t="shared" si="17"/>
        <v>29400</v>
      </c>
      <c r="I565" s="20" t="s">
        <v>242</v>
      </c>
      <c r="J565" s="20" t="str">
        <f>TEXT(SalesHistory[[#This Row],[日付]],"yyyy-mm")</f>
        <v>2026-12</v>
      </c>
      <c r="K565" s="35">
        <f>YEAR(SalesHistory[[#This Row],[日付]])</f>
        <v>2026</v>
      </c>
      <c r="L565" s="35">
        <f>MONTH(SalesHistory[[#This Row],[日付]])</f>
        <v>12</v>
      </c>
    </row>
    <row r="566" spans="1:12" ht="24.95" customHeight="1">
      <c r="A566" s="21">
        <v>46361</v>
      </c>
      <c r="B566" s="20" t="s">
        <v>2</v>
      </c>
      <c r="C566" s="20" t="s">
        <v>232</v>
      </c>
      <c r="D566" s="22">
        <v>13</v>
      </c>
      <c r="E566" s="22">
        <v>2500</v>
      </c>
      <c r="F566" s="22">
        <f t="shared" si="16"/>
        <v>32500</v>
      </c>
      <c r="G566" s="22">
        <v>15600</v>
      </c>
      <c r="H566" s="22">
        <f t="shared" si="17"/>
        <v>16900</v>
      </c>
      <c r="I566" s="20" t="s">
        <v>242</v>
      </c>
      <c r="J566" s="20" t="str">
        <f>TEXT(SalesHistory[[#This Row],[日付]],"yyyy-mm")</f>
        <v>2026-12</v>
      </c>
      <c r="K566" s="35">
        <f>YEAR(SalesHistory[[#This Row],[日付]])</f>
        <v>2026</v>
      </c>
      <c r="L566" s="35">
        <f>MONTH(SalesHistory[[#This Row],[日付]])</f>
        <v>12</v>
      </c>
    </row>
    <row r="567" spans="1:12" ht="24.95" customHeight="1">
      <c r="A567" s="21">
        <v>46371</v>
      </c>
      <c r="B567" s="20" t="s">
        <v>2</v>
      </c>
      <c r="C567" s="20" t="s">
        <v>232</v>
      </c>
      <c r="D567" s="22">
        <v>18</v>
      </c>
      <c r="E567" s="22">
        <v>2500</v>
      </c>
      <c r="F567" s="22">
        <f t="shared" si="16"/>
        <v>45000</v>
      </c>
      <c r="G567" s="22">
        <v>21600</v>
      </c>
      <c r="H567" s="22">
        <f t="shared" si="17"/>
        <v>23400</v>
      </c>
      <c r="I567" s="20" t="s">
        <v>242</v>
      </c>
      <c r="J567" s="20" t="str">
        <f>TEXT(SalesHistory[[#This Row],[日付]],"yyyy-mm")</f>
        <v>2026-12</v>
      </c>
      <c r="K567" s="35">
        <f>YEAR(SalesHistory[[#This Row],[日付]])</f>
        <v>2026</v>
      </c>
      <c r="L567" s="35">
        <f>MONTH(SalesHistory[[#This Row],[日付]])</f>
        <v>12</v>
      </c>
    </row>
    <row r="568" spans="1:12" ht="24.95" customHeight="1">
      <c r="A568" s="21">
        <v>46381</v>
      </c>
      <c r="B568" s="20" t="s">
        <v>2</v>
      </c>
      <c r="C568" s="20" t="s">
        <v>232</v>
      </c>
      <c r="D568" s="22">
        <v>6</v>
      </c>
      <c r="E568" s="22">
        <v>2500</v>
      </c>
      <c r="F568" s="22">
        <f t="shared" si="16"/>
        <v>15000</v>
      </c>
      <c r="G568" s="22">
        <v>7200</v>
      </c>
      <c r="H568" s="22">
        <f t="shared" si="17"/>
        <v>7800</v>
      </c>
      <c r="I568" s="20" t="s">
        <v>242</v>
      </c>
      <c r="J568" s="20" t="str">
        <f>TEXT(SalesHistory[[#This Row],[日付]],"yyyy-mm")</f>
        <v>2026-12</v>
      </c>
      <c r="K568" s="35">
        <f>YEAR(SalesHistory[[#This Row],[日付]])</f>
        <v>2026</v>
      </c>
      <c r="L568" s="35">
        <f>MONTH(SalesHistory[[#This Row],[日付]])</f>
        <v>12</v>
      </c>
    </row>
    <row r="569" spans="1:12" ht="24.95" customHeight="1">
      <c r="A569" s="21">
        <v>46361</v>
      </c>
      <c r="B569" s="20" t="s">
        <v>128</v>
      </c>
      <c r="C569" s="20" t="s">
        <v>148</v>
      </c>
      <c r="D569" s="22">
        <v>34</v>
      </c>
      <c r="E569" s="22">
        <v>2000</v>
      </c>
      <c r="F569" s="22">
        <f t="shared" si="16"/>
        <v>68000</v>
      </c>
      <c r="G569" s="22">
        <v>36720</v>
      </c>
      <c r="H569" s="22">
        <f t="shared" si="17"/>
        <v>31280</v>
      </c>
      <c r="I569" s="20" t="s">
        <v>242</v>
      </c>
      <c r="J569" s="20" t="str">
        <f>TEXT(SalesHistory[[#This Row],[日付]],"yyyy-mm")</f>
        <v>2026-12</v>
      </c>
      <c r="K569" s="35">
        <f>YEAR(SalesHistory[[#This Row],[日付]])</f>
        <v>2026</v>
      </c>
      <c r="L569" s="35">
        <f>MONTH(SalesHistory[[#This Row],[日付]])</f>
        <v>12</v>
      </c>
    </row>
    <row r="570" spans="1:12" ht="24.95" customHeight="1">
      <c r="A570" s="21">
        <v>46371</v>
      </c>
      <c r="B570" s="20" t="s">
        <v>128</v>
      </c>
      <c r="C570" s="20" t="s">
        <v>148</v>
      </c>
      <c r="D570" s="22">
        <v>22</v>
      </c>
      <c r="E570" s="22">
        <v>2000</v>
      </c>
      <c r="F570" s="22">
        <f t="shared" si="16"/>
        <v>44000</v>
      </c>
      <c r="G570" s="22">
        <v>23760</v>
      </c>
      <c r="H570" s="22">
        <f t="shared" si="17"/>
        <v>20240</v>
      </c>
      <c r="I570" s="20" t="s">
        <v>242</v>
      </c>
      <c r="J570" s="20" t="str">
        <f>TEXT(SalesHistory[[#This Row],[日付]],"yyyy-mm")</f>
        <v>2026-12</v>
      </c>
      <c r="K570" s="35">
        <f>YEAR(SalesHistory[[#This Row],[日付]])</f>
        <v>2026</v>
      </c>
      <c r="L570" s="35">
        <f>MONTH(SalesHistory[[#This Row],[日付]])</f>
        <v>12</v>
      </c>
    </row>
    <row r="571" spans="1:12" ht="24.95" customHeight="1">
      <c r="A571" s="21">
        <v>46381</v>
      </c>
      <c r="B571" s="20" t="s">
        <v>128</v>
      </c>
      <c r="C571" s="20" t="s">
        <v>148</v>
      </c>
      <c r="D571" s="22">
        <v>27</v>
      </c>
      <c r="E571" s="22">
        <v>2000</v>
      </c>
      <c r="F571" s="22">
        <f t="shared" si="16"/>
        <v>54000</v>
      </c>
      <c r="G571" s="22">
        <v>29160</v>
      </c>
      <c r="H571" s="22">
        <f t="shared" si="17"/>
        <v>24840</v>
      </c>
      <c r="I571" s="20" t="s">
        <v>242</v>
      </c>
      <c r="J571" s="20" t="str">
        <f>TEXT(SalesHistory[[#This Row],[日付]],"yyyy-mm")</f>
        <v>2026-12</v>
      </c>
      <c r="K571" s="35">
        <f>YEAR(SalesHistory[[#This Row],[日付]])</f>
        <v>2026</v>
      </c>
      <c r="L571" s="35">
        <f>MONTH(SalesHistory[[#This Row],[日付]])</f>
        <v>12</v>
      </c>
    </row>
    <row r="572" spans="1:12" ht="24.95" customHeight="1">
      <c r="A572" s="21">
        <v>46361</v>
      </c>
      <c r="B572" s="20" t="s">
        <v>128</v>
      </c>
      <c r="C572" s="20" t="s">
        <v>233</v>
      </c>
      <c r="D572" s="22">
        <v>20</v>
      </c>
      <c r="E572" s="22">
        <v>1800</v>
      </c>
      <c r="F572" s="22">
        <f t="shared" si="16"/>
        <v>36000</v>
      </c>
      <c r="G572" s="22">
        <v>21600</v>
      </c>
      <c r="H572" s="22">
        <f t="shared" si="17"/>
        <v>14400</v>
      </c>
      <c r="I572" s="20" t="s">
        <v>242</v>
      </c>
      <c r="J572" s="20" t="str">
        <f>TEXT(SalesHistory[[#This Row],[日付]],"yyyy-mm")</f>
        <v>2026-12</v>
      </c>
      <c r="K572" s="35">
        <f>YEAR(SalesHistory[[#This Row],[日付]])</f>
        <v>2026</v>
      </c>
      <c r="L572" s="35">
        <f>MONTH(SalesHistory[[#This Row],[日付]])</f>
        <v>12</v>
      </c>
    </row>
    <row r="573" spans="1:12" ht="24.95" customHeight="1">
      <c r="A573" s="21">
        <v>46371</v>
      </c>
      <c r="B573" s="20" t="s">
        <v>128</v>
      </c>
      <c r="C573" s="20" t="s">
        <v>233</v>
      </c>
      <c r="D573" s="22">
        <v>25</v>
      </c>
      <c r="E573" s="22">
        <v>1800</v>
      </c>
      <c r="F573" s="22">
        <f t="shared" si="16"/>
        <v>45000</v>
      </c>
      <c r="G573" s="22">
        <v>27000</v>
      </c>
      <c r="H573" s="22">
        <f t="shared" si="17"/>
        <v>18000</v>
      </c>
      <c r="I573" s="20" t="s">
        <v>242</v>
      </c>
      <c r="J573" s="20" t="str">
        <f>TEXT(SalesHistory[[#This Row],[日付]],"yyyy-mm")</f>
        <v>2026-12</v>
      </c>
      <c r="K573" s="35">
        <f>YEAR(SalesHistory[[#This Row],[日付]])</f>
        <v>2026</v>
      </c>
      <c r="L573" s="35">
        <f>MONTH(SalesHistory[[#This Row],[日付]])</f>
        <v>12</v>
      </c>
    </row>
    <row r="574" spans="1:12" ht="24.95" customHeight="1">
      <c r="A574" s="21">
        <v>46381</v>
      </c>
      <c r="B574" s="20" t="s">
        <v>128</v>
      </c>
      <c r="C574" s="20" t="s">
        <v>233</v>
      </c>
      <c r="D574" s="22">
        <v>30</v>
      </c>
      <c r="E574" s="22">
        <v>1800</v>
      </c>
      <c r="F574" s="22">
        <f t="shared" si="16"/>
        <v>54000</v>
      </c>
      <c r="G574" s="22">
        <v>32400</v>
      </c>
      <c r="H574" s="22">
        <f t="shared" si="17"/>
        <v>21600</v>
      </c>
      <c r="I574" s="20" t="s">
        <v>242</v>
      </c>
      <c r="J574" s="20" t="str">
        <f>TEXT(SalesHistory[[#This Row],[日付]],"yyyy-mm")</f>
        <v>2026-12</v>
      </c>
      <c r="K574" s="35">
        <f>YEAR(SalesHistory[[#This Row],[日付]])</f>
        <v>2026</v>
      </c>
      <c r="L574" s="35">
        <f>MONTH(SalesHistory[[#This Row],[日付]])</f>
        <v>12</v>
      </c>
    </row>
    <row r="575" spans="1:12" ht="24.95" customHeight="1">
      <c r="A575" s="21">
        <v>46361</v>
      </c>
      <c r="B575" s="20" t="s">
        <v>128</v>
      </c>
      <c r="C575" s="20" t="s">
        <v>234</v>
      </c>
      <c r="D575" s="22">
        <v>23</v>
      </c>
      <c r="E575" s="22">
        <v>3200</v>
      </c>
      <c r="F575" s="22">
        <f t="shared" si="16"/>
        <v>73600</v>
      </c>
      <c r="G575" s="22">
        <v>48576</v>
      </c>
      <c r="H575" s="22">
        <f t="shared" si="17"/>
        <v>25024</v>
      </c>
      <c r="I575" s="20" t="s">
        <v>242</v>
      </c>
      <c r="J575" s="20" t="str">
        <f>TEXT(SalesHistory[[#This Row],[日付]],"yyyy-mm")</f>
        <v>2026-12</v>
      </c>
      <c r="K575" s="35">
        <f>YEAR(SalesHistory[[#This Row],[日付]])</f>
        <v>2026</v>
      </c>
      <c r="L575" s="35">
        <f>MONTH(SalesHistory[[#This Row],[日付]])</f>
        <v>12</v>
      </c>
    </row>
    <row r="576" spans="1:12" ht="24.95" customHeight="1">
      <c r="A576" s="21">
        <v>46371</v>
      </c>
      <c r="B576" s="20" t="s">
        <v>128</v>
      </c>
      <c r="C576" s="20" t="s">
        <v>234</v>
      </c>
      <c r="D576" s="22">
        <v>28</v>
      </c>
      <c r="E576" s="22">
        <v>3200</v>
      </c>
      <c r="F576" s="22">
        <f t="shared" si="16"/>
        <v>89600</v>
      </c>
      <c r="G576" s="22">
        <v>59136</v>
      </c>
      <c r="H576" s="22">
        <f t="shared" si="17"/>
        <v>30464</v>
      </c>
      <c r="I576" s="20" t="s">
        <v>242</v>
      </c>
      <c r="J576" s="20" t="str">
        <f>TEXT(SalesHistory[[#This Row],[日付]],"yyyy-mm")</f>
        <v>2026-12</v>
      </c>
      <c r="K576" s="35">
        <f>YEAR(SalesHistory[[#This Row],[日付]])</f>
        <v>2026</v>
      </c>
      <c r="L576" s="35">
        <f>MONTH(SalesHistory[[#This Row],[日付]])</f>
        <v>12</v>
      </c>
    </row>
    <row r="577" spans="1:12" ht="24.95" customHeight="1">
      <c r="A577" s="21">
        <v>46381</v>
      </c>
      <c r="B577" s="20" t="s">
        <v>128</v>
      </c>
      <c r="C577" s="20" t="s">
        <v>234</v>
      </c>
      <c r="D577" s="22">
        <v>33</v>
      </c>
      <c r="E577" s="22">
        <v>3200</v>
      </c>
      <c r="F577" s="22">
        <f t="shared" si="16"/>
        <v>105600</v>
      </c>
      <c r="G577" s="22">
        <v>69696</v>
      </c>
      <c r="H577" s="22">
        <f t="shared" si="17"/>
        <v>35904</v>
      </c>
      <c r="I577" s="20" t="s">
        <v>242</v>
      </c>
      <c r="J577" s="20" t="str">
        <f>TEXT(SalesHistory[[#This Row],[日付]],"yyyy-mm")</f>
        <v>2026-12</v>
      </c>
      <c r="K577" s="35">
        <f>YEAR(SalesHistory[[#This Row],[日付]])</f>
        <v>2026</v>
      </c>
      <c r="L577" s="35">
        <f>MONTH(SalesHistory[[#This Row],[日付]])</f>
        <v>12</v>
      </c>
    </row>
    <row r="578" spans="1:12" ht="24.95" customHeight="1">
      <c r="A578" s="21">
        <v>46361</v>
      </c>
      <c r="B578" s="20" t="s">
        <v>128</v>
      </c>
      <c r="C578" s="20" t="s">
        <v>235</v>
      </c>
      <c r="D578" s="22">
        <v>26</v>
      </c>
      <c r="E578" s="22">
        <v>4000</v>
      </c>
      <c r="F578" s="22">
        <f t="shared" si="16"/>
        <v>104000</v>
      </c>
      <c r="G578" s="22">
        <v>74880</v>
      </c>
      <c r="H578" s="22">
        <f t="shared" si="17"/>
        <v>29120</v>
      </c>
      <c r="I578" s="20" t="s">
        <v>242</v>
      </c>
      <c r="J578" s="20" t="str">
        <f>TEXT(SalesHistory[[#This Row],[日付]],"yyyy-mm")</f>
        <v>2026-12</v>
      </c>
      <c r="K578" s="35">
        <f>YEAR(SalesHistory[[#This Row],[日付]])</f>
        <v>2026</v>
      </c>
      <c r="L578" s="35">
        <f>MONTH(SalesHistory[[#This Row],[日付]])</f>
        <v>12</v>
      </c>
    </row>
    <row r="579" spans="1:12" ht="24.95" customHeight="1">
      <c r="A579" s="21">
        <v>46371</v>
      </c>
      <c r="B579" s="20" t="s">
        <v>128</v>
      </c>
      <c r="C579" s="20" t="s">
        <v>235</v>
      </c>
      <c r="D579" s="22">
        <v>31</v>
      </c>
      <c r="E579" s="22">
        <v>4000</v>
      </c>
      <c r="F579" s="22">
        <f t="shared" si="16"/>
        <v>124000</v>
      </c>
      <c r="G579" s="22">
        <v>89280</v>
      </c>
      <c r="H579" s="22">
        <f t="shared" si="17"/>
        <v>34720</v>
      </c>
      <c r="I579" s="20" t="s">
        <v>242</v>
      </c>
      <c r="J579" s="20" t="str">
        <f>TEXT(SalesHistory[[#This Row],[日付]],"yyyy-mm")</f>
        <v>2026-12</v>
      </c>
      <c r="K579" s="35">
        <f>YEAR(SalesHistory[[#This Row],[日付]])</f>
        <v>2026</v>
      </c>
      <c r="L579" s="35">
        <f>MONTH(SalesHistory[[#This Row],[日付]])</f>
        <v>12</v>
      </c>
    </row>
    <row r="580" spans="1:12" ht="24.95" customHeight="1">
      <c r="A580" s="21">
        <v>46381</v>
      </c>
      <c r="B580" s="20" t="s">
        <v>128</v>
      </c>
      <c r="C580" s="20" t="s">
        <v>235</v>
      </c>
      <c r="D580" s="22">
        <v>36</v>
      </c>
      <c r="E580" s="22">
        <v>4000</v>
      </c>
      <c r="F580" s="22">
        <f t="shared" si="16"/>
        <v>144000</v>
      </c>
      <c r="G580" s="22">
        <v>103680</v>
      </c>
      <c r="H580" s="22">
        <f t="shared" si="17"/>
        <v>40320</v>
      </c>
      <c r="I580" s="20" t="s">
        <v>242</v>
      </c>
      <c r="J580" s="20" t="str">
        <f>TEXT(SalesHistory[[#This Row],[日付]],"yyyy-mm")</f>
        <v>2026-12</v>
      </c>
      <c r="K580" s="35">
        <f>YEAR(SalesHistory[[#This Row],[日付]])</f>
        <v>2026</v>
      </c>
      <c r="L580" s="35">
        <f>MONTH(SalesHistory[[#This Row],[日付]])</f>
        <v>12</v>
      </c>
    </row>
    <row r="583" spans="1:12" ht="32.1" customHeight="1">
      <c r="A583" s="34" t="s">
        <v>243</v>
      </c>
      <c r="B583" s="34"/>
      <c r="C583" s="34"/>
      <c r="D583" s="34"/>
      <c r="E583" s="34"/>
      <c r="F583" s="34"/>
      <c r="G583" s="34"/>
      <c r="H583" s="34"/>
      <c r="I583" s="34"/>
    </row>
  </sheetData>
  <mergeCells count="2">
    <mergeCell ref="A2:I2"/>
    <mergeCell ref="A583:I583"/>
  </mergeCells>
  <phoneticPr fontId="1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3</vt:i4>
      </vt:variant>
    </vt:vector>
  </HeadingPairs>
  <TitlesOfParts>
    <vt:vector size="16" baseType="lpstr">
      <vt:lpstr>採算シミュレーション</vt:lpstr>
      <vt:lpstr>見積書</vt:lpstr>
      <vt:lpstr>見積入力</vt:lpstr>
      <vt:lpstr>原価(木工所)</vt:lpstr>
      <vt:lpstr>原価(農家)</vt:lpstr>
      <vt:lpstr>設定</vt:lpstr>
      <vt:lpstr>サンプル・入力例</vt:lpstr>
      <vt:lpstr>計算</vt:lpstr>
      <vt:lpstr>使い方・検証</vt:lpstr>
      <vt:lpstr>売上分析</vt:lpstr>
      <vt:lpstr>商品マスタ</vt:lpstr>
      <vt:lpstr>制御</vt:lpstr>
      <vt:lpstr>売上データ</vt:lpstr>
      <vt:lpstr>IndustryList</vt:lpstr>
      <vt:lpstr>見積書!Print_Area</vt:lpstr>
      <vt:lpstr>売上分析!Print_Area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ExcelBIBasic3</cp:lastModifiedBy>
  <dcterms:modified xsi:type="dcterms:W3CDTF">2026-10-21T22:35:10Z</dcterms:modified>
</cp:coreProperties>
</file>